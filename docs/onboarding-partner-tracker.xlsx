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ướng dẫn" sheetId="1" state="visible" r:id="rId3"/>
    <sheet name="Dashboard" sheetId="2" state="visible" r:id="rId4"/>
    <sheet name="Partner" sheetId="3" state="visible" r:id="rId5"/>
    <sheet name="Task" sheetId="4" state="visible" r:id="rId6"/>
    <sheet name="Chấm điểm" sheetId="5" state="visible" r:id="rId7"/>
    <sheet name="Quy trình" sheetId="6" state="visible" r:id="rId8"/>
    <sheet name="Mẫu task" sheetId="7" state="visible" r:id="rId9"/>
    <sheet name="Câu hỏi mở" sheetId="8" state="visible" r:id="rId10"/>
  </sheets>
  <definedNames>
    <definedName function="false" hidden="true" localSheetId="2" name="_xlnm._FilterDatabase" vbProcedure="false">Partner!$A$4:$V$54</definedName>
    <definedName function="false" hidden="true" localSheetId="3" name="_xlnm._FilterDatabase" vbProcedure="false">Task!$A$4:$P$404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<sst xmlns="http://schemas.openxmlformats.org/spreadsheetml/2006/main" count="583" uniqueCount="333">
  <si>
    <t xml:space="preserve">Onboarding Partner Tracker – Hướng dẫn nhanh</t>
  </si>
  <si>
    <t xml:space="preserve">Công cụ kiểm soát 8 bước onboarding partner (theo whiteboard 'On boarding partner').</t>
  </si>
  <si>
    <t xml:space="preserve">CÁCH DÙNG (4 bước)</t>
  </si>
  <si>
    <t xml:space="preserve">1</t>
  </si>
  <si>
    <t xml:space="preserve">Sheet 'Partner': nhập tên partner ở cột A (tối đa 50). Cột còn lại tự tính.</t>
  </si>
  <si>
    <t xml:space="preserve">2</t>
  </si>
  <si>
    <t xml:space="preserve">Sheet 'Task': mỗi dòng 1 task. Chọn Partner, chọn Mã task (danh sách lấy từ 'Mẫu task'), nhập Owner, Ngày giao, Trạng thái. Hạn = Ngày giao + SLA; cảnh báo tự hiện.</t>
  </si>
  <si>
    <t xml:space="preserve">3</t>
  </si>
  <si>
    <t xml:space="preserve">Sheet 'Chấm điểm': chấm checklist tech meeting (bước 5) cho từng partner → kết luận OK / chưa đạt tự ra.</t>
  </si>
  <si>
    <t xml:space="preserve">4</t>
  </si>
  <si>
    <t xml:space="preserve">Sheet 'Dashboard': xem tổng quan, task trễ, task bị chặn, partner đang ở bước nào.</t>
  </si>
  <si>
    <t xml:space="preserve">TÍNH NĂNG TỰ ĐỘNG</t>
  </si>
  <si>
    <t xml:space="preserve">•</t>
  </si>
  <si>
    <t xml:space="preserve">Trạng thái từng bước (Xong / Đang làm / Bị chặn / Chưa) của mỗi partner, bước hiện tại và % quy trình.</t>
  </si>
  <si>
    <t xml:space="preserve">Cảnh báo task: TRỄ x ngày, Sắp đến hạn (≤ 3 ngày), Bị chặn, 'Bước trước chưa xong' khi làm vượt bước.</t>
  </si>
  <si>
    <t xml:space="preserve">Chấm điểm có trọng số, tiêu chí bắt buộc và ngưỡng đạt → kết luận OK / Chưa đạt / Chưa chấm đủ.</t>
  </si>
  <si>
    <t xml:space="preserve">Thêm task mới: điền dòng trống trong 'Mẫu task' (mã + bước + SLA); task đó xuất hiện trong danh sách chọn.</t>
  </si>
  <si>
    <t xml:space="preserve">QUY ƯỚC MÀU</t>
  </si>
  <si>
    <t xml:space="preserve">Chữ xanh + nền vàng nhạt</t>
  </si>
  <si>
    <t xml:space="preserve">Ô nhập liệu – được sửa.</t>
  </si>
  <si>
    <t xml:space="preserve">Chữ đen</t>
  </si>
  <si>
    <t xml:space="preserve">Công thức – không sửa.</t>
  </si>
  <si>
    <t xml:space="preserve">Chữ đỏ nghiêng</t>
  </si>
  <si>
    <t xml:space="preserve">Giả định cần xác nhận.</t>
  </si>
  <si>
    <t xml:space="preserve">DỮ LIỆU VÍ DỤ</t>
  </si>
  <si>
    <t xml:space="preserve">'Partner mẫu A' và 'Partner mẫu B' (cùng task và điểm mẫu) chỉ để minh hoạ. Xoá hoặc ghi đè khi dùng thật.</t>
  </si>
  <si>
    <t xml:space="preserve">Để xoá ví dụ: xoá dữ liệu cột A, B, G, H, K, L, N ở sheet 'Task' (dòng 5–44), cột A–E ở 'Partner', cột D ở 'Chấm điểm'. Đừng xoá dòng (sẽ mất công thức).</t>
  </si>
  <si>
    <t xml:space="preserve">GIẢ ĐỊNH (chữ trên whiteboard khó đọc)</t>
  </si>
  <si>
    <t xml:space="preserve">Bước 6 = 'Quyết định / duyệt'; MOA = bước 7; bước 8 = hoạt động sau ký (truyền thông, đóng gói VTF, đào tạo 2 chiều, biz matching, setup liên tục).</t>
  </si>
  <si>
    <t xml:space="preserve">SLA từng task, tiêu chí và trọng số chấm điểm, ngưỡng đạt 70% là số đề xuất – cần team chốt (xem sheet 'Câu hỏi mở').</t>
  </si>
  <si>
    <t xml:space="preserve">Ngày giao nhập tay; Hạn = Ngày giao + SLA. Cảnh báo dùng ngày hiện tại của máy (TODAY).</t>
  </si>
  <si>
    <t xml:space="preserve">Dashboard onboarding partner</t>
  </si>
  <si>
    <t xml:space="preserve">Tự cập nhật từ sheet 'Partner' và 'Task'. Không nhập tay ở sheet này.</t>
  </si>
  <si>
    <t xml:space="preserve">Tổng partner</t>
  </si>
  <si>
    <t xml:space="preserve">Đang triển khai</t>
  </si>
  <si>
    <t xml:space="preserve">Tổng task</t>
  </si>
  <si>
    <t xml:space="preserve">% task hoàn thành</t>
  </si>
  <si>
    <t xml:space="preserve">Task trễ hạn</t>
  </si>
  <si>
    <t xml:space="preserve">Task bị chặn</t>
  </si>
  <si>
    <t xml:space="preserve">Đến hạn trong 7 ngày</t>
  </si>
  <si>
    <t xml:space="preserve">Tiến độ theo bước</t>
  </si>
  <si>
    <t xml:space="preserve">#</t>
  </si>
  <si>
    <t xml:space="preserve">Bước</t>
  </si>
  <si>
    <t xml:space="preserve">Xong</t>
  </si>
  <si>
    <t xml:space="preserve">Đang làm</t>
  </si>
  <si>
    <t xml:space="preserve">Bị chặn</t>
  </si>
  <si>
    <t xml:space="preserve">Trễ</t>
  </si>
  <si>
    <t xml:space="preserve">% xong</t>
  </si>
  <si>
    <t xml:space="preserve">Số partner đang ở bước</t>
  </si>
  <si>
    <t xml:space="preserve">Danh sách partner</t>
  </si>
  <si>
    <t xml:space="preserve">Partner</t>
  </si>
  <si>
    <t xml:space="preserve">Bước hiện tại</t>
  </si>
  <si>
    <t xml:space="preserve">% quy trình</t>
  </si>
  <si>
    <t xml:space="preserve">Trạng thái chung</t>
  </si>
  <si>
    <t xml:space="preserve">Task trễ</t>
  </si>
  <si>
    <t xml:space="preserve">Kết quả tech meeting</t>
  </si>
  <si>
    <t xml:space="preserve">Hiển thị 15 partner đầu trong sheet 'Partner'.</t>
  </si>
  <si>
    <t xml:space="preserve">Danh sách partner và tiến độ (tự tính từ sheet 'Task')</t>
  </si>
  <si>
    <t xml:space="preserve">Chỉ nhập cột A đến E (nền vàng). Các cột còn lại tự cập nhật. Chấm điểm tech meeting chỉ hỗ trợ 10 partner đầu.</t>
  </si>
  <si>
    <t xml:space="preserve">Mã bước →</t>
  </si>
  <si>
    <t xml:space="preserve">Ngành / sản phẩm</t>
  </si>
  <si>
    <t xml:space="preserve">Nguồn</t>
  </si>
  <si>
    <t xml:space="preserve">Owner</t>
  </si>
  <si>
    <t xml:space="preserve">Ngày bắt đầu</t>
  </si>
  <si>
    <t xml:space="preserve">B1</t>
  </si>
  <si>
    <t xml:space="preserve">B2</t>
  </si>
  <si>
    <t xml:space="preserve">B3</t>
  </si>
  <si>
    <t xml:space="preserve">B4</t>
  </si>
  <si>
    <t xml:space="preserve">B5</t>
  </si>
  <si>
    <t xml:space="preserve">B6</t>
  </si>
  <si>
    <t xml:space="preserve">B7</t>
  </si>
  <si>
    <t xml:space="preserve">B8</t>
  </si>
  <si>
    <t xml:space="preserve">Bước hiện tại (#)</t>
  </si>
  <si>
    <t xml:space="preserve">Đã xong</t>
  </si>
  <si>
    <t xml:space="preserve">Partner mẫu A (ví dụ – xoá/ghi đè)</t>
  </si>
  <si>
    <t xml:space="preserve">An ninh mạng / DLP</t>
  </si>
  <si>
    <t xml:space="preserve">Giới thiệu</t>
  </si>
  <si>
    <t xml:space="preserve">BD</t>
  </si>
  <si>
    <t xml:space="preserve">Partner mẫu B (ví dụ – xoá/ghi đè)</t>
  </si>
  <si>
    <t xml:space="preserve">Cloud / Backup</t>
  </si>
  <si>
    <t xml:space="preserve">Sự kiện</t>
  </si>
  <si>
    <t xml:space="preserve">Theo dõi task theo partner</t>
  </si>
  <si>
    <t xml:space="preserve">Mỗi dòng = 1 task của 1 partner. Chọn Partner + Mã task, rồi nhập Owner, Ngày giao, Trạng thái. Các cột còn lại tự tính.</t>
  </si>
  <si>
    <t xml:space="preserve">Mã task</t>
  </si>
  <si>
    <t xml:space="preserve">Bước #</t>
  </si>
  <si>
    <t xml:space="preserve">Tên bước</t>
  </si>
  <si>
    <t xml:space="preserve">Việc cần làm</t>
  </si>
  <si>
    <t xml:space="preserve">Cần có (đầu vào)</t>
  </si>
  <si>
    <t xml:space="preserve">Ngày giao</t>
  </si>
  <si>
    <t xml:space="preserve">SLA (ngày)</t>
  </si>
  <si>
    <t xml:space="preserve">Hạn</t>
  </si>
  <si>
    <t xml:space="preserve">Trạng thái</t>
  </si>
  <si>
    <t xml:space="preserve">Ngày hoàn thành</t>
  </si>
  <si>
    <t xml:space="preserve">Cảnh báo</t>
  </si>
  <si>
    <t xml:space="preserve">Ghi chú</t>
  </si>
  <si>
    <t xml:space="preserve">Cờ trễ</t>
  </si>
  <si>
    <t xml:space="preserve">Chờ bước trước</t>
  </si>
  <si>
    <t xml:space="preserve">1.1</t>
  </si>
  <si>
    <t xml:space="preserve">Hoàn thành</t>
  </si>
  <si>
    <t xml:space="preserve">1.2</t>
  </si>
  <si>
    <t xml:space="preserve">1.3</t>
  </si>
  <si>
    <t xml:space="preserve">1.4</t>
  </si>
  <si>
    <t xml:space="preserve">2.1</t>
  </si>
  <si>
    <t xml:space="preserve">2.2</t>
  </si>
  <si>
    <t xml:space="preserve">2.3</t>
  </si>
  <si>
    <t xml:space="preserve">2.4</t>
  </si>
  <si>
    <t xml:space="preserve">3.1</t>
  </si>
  <si>
    <t xml:space="preserve">Pháp chế</t>
  </si>
  <si>
    <t xml:space="preserve">3.2</t>
  </si>
  <si>
    <t xml:space="preserve">3.3</t>
  </si>
  <si>
    <t xml:space="preserve">4.1</t>
  </si>
  <si>
    <t xml:space="preserve">4.2</t>
  </si>
  <si>
    <t xml:space="preserve">4.3</t>
  </si>
  <si>
    <t xml:space="preserve">Đang chờ partner gửi bảng giá (ví dụ)</t>
  </si>
  <si>
    <t xml:space="preserve">4.4</t>
  </si>
  <si>
    <t xml:space="preserve">Chưa bắt đầu</t>
  </si>
  <si>
    <t xml:space="preserve">4.5</t>
  </si>
  <si>
    <t xml:space="preserve">5.1</t>
  </si>
  <si>
    <t xml:space="preserve">Tech</t>
  </si>
  <si>
    <t xml:space="preserve">5.2</t>
  </si>
  <si>
    <t xml:space="preserve">Product</t>
  </si>
  <si>
    <t xml:space="preserve">5.3</t>
  </si>
  <si>
    <t xml:space="preserve">5.4</t>
  </si>
  <si>
    <t xml:space="preserve">5.5</t>
  </si>
  <si>
    <t xml:space="preserve">6.1</t>
  </si>
  <si>
    <t xml:space="preserve">6.2</t>
  </si>
  <si>
    <t xml:space="preserve">7.1</t>
  </si>
  <si>
    <t xml:space="preserve">7.2</t>
  </si>
  <si>
    <t xml:space="preserve">7.3</t>
  </si>
  <si>
    <t xml:space="preserve">7.4</t>
  </si>
  <si>
    <t xml:space="preserve">8.1</t>
  </si>
  <si>
    <t xml:space="preserve">Marketing</t>
  </si>
  <si>
    <t xml:space="preserve">8.2</t>
  </si>
  <si>
    <t xml:space="preserve">8.3</t>
  </si>
  <si>
    <t xml:space="preserve">BD / Product</t>
  </si>
  <si>
    <t xml:space="preserve">8.4</t>
  </si>
  <si>
    <t xml:space="preserve">Đào tạo</t>
  </si>
  <si>
    <t xml:space="preserve">8.5</t>
  </si>
  <si>
    <t xml:space="preserve">8.6</t>
  </si>
  <si>
    <t xml:space="preserve">8.7</t>
  </si>
  <si>
    <t xml:space="preserve">Chấm điểm tech meeting (bước 5) – checklist đánh giá tiềm năng hợp tác sản phẩm</t>
  </si>
  <si>
    <t xml:space="preserve">Tiêu chí và trọng số bên dưới là ĐỀ XUẤT (whiteboard còn dấu ?): hãy sửa cho đúng. Chấm 0–5 vào cột partner. Tên partner tự lấy từ sheet 'Partner' (10 partner đầu).</t>
  </si>
  <si>
    <t xml:space="preserve">Tiêu chí</t>
  </si>
  <si>
    <t xml:space="preserve">Trọng số</t>
  </si>
  <si>
    <t xml:space="preserve">Bắt buộc?</t>
  </si>
  <si>
    <t xml:space="preserve">Mức độ bổ sung cho danh mục sản phẩm VNW</t>
  </si>
  <si>
    <t xml:space="preserve">Không</t>
  </si>
  <si>
    <t xml:space="preserve">Năng lực kỹ thuật và độ trưởng thành sản phẩm</t>
  </si>
  <si>
    <t xml:space="preserve">Có</t>
  </si>
  <si>
    <t xml:space="preserve">Khả năng tích hợp / triển khai tại Việt Nam</t>
  </si>
  <si>
    <t xml:space="preserve">Mô hình giá và biên lợi nhuận</t>
  </si>
  <si>
    <t xml:space="preserve">Năng lực hỗ trợ và đào tạo</t>
  </si>
  <si>
    <t xml:space="preserve">Uy tín và khách hàng tham chiếu</t>
  </si>
  <si>
    <t xml:space="preserve">Tuân thủ pháp lý / bảo mật</t>
  </si>
  <si>
    <t xml:space="preserve">Tổng trọng số (phải = 100)</t>
  </si>
  <si>
    <t xml:space="preserve">Điểm có trọng số (%)</t>
  </si>
  <si>
    <t xml:space="preserve">Số tiêu chí bắt buộc không đạt</t>
  </si>
  <si>
    <t xml:space="preserve">Số tiêu chí đã chấm</t>
  </si>
  <si>
    <t xml:space="preserve">KẾT LUẬN</t>
  </si>
  <si>
    <t xml:space="preserve">Tham số</t>
  </si>
  <si>
    <t xml:space="preserve">Ngưỡng đạt (% điểm có trọng số)</t>
  </si>
  <si>
    <t xml:space="preserve">Giả định: 70% – chưa có số trên whiteboard, cần xác nhận.</t>
  </si>
  <si>
    <t xml:space="preserve">Điểm tối thiểu cho tiêu chí bắt buộc</t>
  </si>
  <si>
    <t xml:space="preserve">Thang điểm tối đa</t>
  </si>
  <si>
    <t xml:space="preserve">Ví dụ: cột D đã điền điểm mẫu cho 'Partner mẫu A' (73% → OK). Xoá khi dùng thật.</t>
  </si>
  <si>
    <t xml:space="preserve">Quy trình onboarding partner (8 bước)</t>
  </si>
  <si>
    <t xml:space="preserve">Nguồn: whiteboard 'On boarding partner'. Ô xanh = có thể sửa. Cột H, I tự tính từ sheet 'Mẫu task'.</t>
  </si>
  <si>
    <t xml:space="preserve">Mục tiêu</t>
  </si>
  <si>
    <t xml:space="preserve">Đầu ra</t>
  </si>
  <si>
    <t xml:space="preserve">Điều kiện qua bước</t>
  </si>
  <si>
    <t xml:space="preserve">Owner chính</t>
  </si>
  <si>
    <t xml:space="preserve">SLA tổng (ngày)</t>
  </si>
  <si>
    <t xml:space="preserve">Số task mẫu</t>
  </si>
  <si>
    <t xml:space="preserve">Sourcing</t>
  </si>
  <si>
    <t xml:space="preserve">Tìm và lọc partner tiềm năng</t>
  </si>
  <si>
    <t xml:space="preserve">Bộ tiêu chí chọn partner (chưa chốt); danh sách nguồn tìm partner</t>
  </si>
  <si>
    <t xml:space="preserve">Short list partner 'A'</t>
  </si>
  <si>
    <t xml:space="preserve">Short list được duyệt</t>
  </si>
  <si>
    <t xml:space="preserve">BD / Partnership</t>
  </si>
  <si>
    <t xml:space="preserve">Approach</t>
  </si>
  <si>
    <t xml:space="preserve">Tiếp cận và giới thiệu hợp tác</t>
  </si>
  <si>
    <t xml:space="preserve">Presentation: công ty, VTF, đề xuất giải pháp/hợp tác; đầu mối phía partner</t>
  </si>
  <si>
    <t xml:space="preserve">Partner đồng ý tìm hiểu tiếp</t>
  </si>
  <si>
    <t xml:space="preserve">Partner phản hồi quan tâm</t>
  </si>
  <si>
    <t xml:space="preserve">NDA</t>
  </si>
  <si>
    <t xml:space="preserve">Ký thỏa thuận bảo mật trước khi trao đổi sâu</t>
  </si>
  <si>
    <t xml:space="preserve">Mẫu NDA đã duyệt; người ký hai bên</t>
  </si>
  <si>
    <t xml:space="preserve">NDA đã ký</t>
  </si>
  <si>
    <t xml:space="preserve">NDA ký đủ hai bên</t>
  </si>
  <si>
    <t xml:space="preserve">Hồ sơ của partner (A)</t>
  </si>
  <si>
    <t xml:space="preserve">Thu thập thông tin để đánh giá</t>
  </si>
  <si>
    <t xml:space="preserve">Company profile; product deck; price policy; biz collaboration model</t>
  </si>
  <si>
    <t xml:space="preserve">Bộ hồ sơ partner đầy đủ</t>
  </si>
  <si>
    <t xml:space="preserve">Đủ 4 loại hồ sơ</t>
  </si>
  <si>
    <t xml:space="preserve">Tech meeting</t>
  </si>
  <si>
    <t xml:space="preserve">Đánh giá tiềm năng hợp tác sản phẩm</t>
  </si>
  <si>
    <t xml:space="preserve">Bộ tiêu chí đánh giá + checklist; danh mục SP VNW định hướng; hồ sơ bước 4</t>
  </si>
  <si>
    <t xml:space="preserve">Kết quả chấm checklist: OK / không OK</t>
  </si>
  <si>
    <t xml:space="preserve">Điểm chấm &gt;= ngưỡng (sheet 'Chấm điểm')</t>
  </si>
  <si>
    <t xml:space="preserve">Tech / Product</t>
  </si>
  <si>
    <t xml:space="preserve">Quyết định / duyệt (giả định)</t>
  </si>
  <si>
    <t xml:space="preserve">Chốt đi tiếp sau tech meeting</t>
  </si>
  <si>
    <t xml:space="preserve">Biên bản tech meeting; kết quả chấm điểm</t>
  </si>
  <si>
    <t xml:space="preserve">Go / no-go</t>
  </si>
  <si>
    <t xml:space="preserve">Cấp duyệt đồng ý</t>
  </si>
  <si>
    <t xml:space="preserve">Lãnh đạo / BD</t>
  </si>
  <si>
    <t xml:space="preserve">MOA</t>
  </si>
  <si>
    <t xml:space="preserve">Ký thỏa thuận hợp tác</t>
  </si>
  <si>
    <t xml:space="preserve">Mô hình hợp tác và tài chính ($); dự thảo MOA</t>
  </si>
  <si>
    <t xml:space="preserve">MOA đã ký</t>
  </si>
  <si>
    <t xml:space="preserve">MOA ký đủ hai bên</t>
  </si>
  <si>
    <t xml:space="preserve">BD + Pháp chế</t>
  </si>
  <si>
    <t xml:space="preserve">Sau ký: vận hành liên tục</t>
  </si>
  <si>
    <t xml:space="preserve">Triển khai hợp tác thực tế</t>
  </si>
  <si>
    <t xml:space="preserve">Nội dung truyền thông; gói VTF; tài liệu đào tạo; danh sách KH của tech partner</t>
  </si>
  <si>
    <t xml:space="preserve">Truyền thông, đóng gói VTF, đào tạo 2 chiều, biz matching, setup</t>
  </si>
  <si>
    <t xml:space="preserve">Các hạng mục đã chạy</t>
  </si>
  <si>
    <t xml:space="preserve">BD / Marketing / Đào tạo</t>
  </si>
  <si>
    <t xml:space="preserve">Giả định: bước 6 trên whiteboard không đọc rõ; tạm đặt là 'Quyết định / duyệt'. MOA đặt là bước 7 (số trên bảng bị gạch).</t>
  </si>
  <si>
    <t xml:space="preserve">Danh mục task mẫu cho từng bước</t>
  </si>
  <si>
    <t xml:space="preserve">Sửa trực tiếp ở cột xanh. Thêm task mới ở dòng trống (tới dòng 64): mã mới sẽ tự xuất hiện trong danh sách chọn của sheet 'Task'.</t>
  </si>
  <si>
    <t xml:space="preserve">Mã</t>
  </si>
  <si>
    <t xml:space="preserve">Cần có (tài liệu / đầu vào)</t>
  </si>
  <si>
    <t xml:space="preserve">Owner mặc định</t>
  </si>
  <si>
    <t xml:space="preserve">Chốt bộ tiêu chí chọn partner (đang là dấu ? trên bảng)</t>
  </si>
  <si>
    <t xml:space="preserve">Mục tiêu hợp tác; danh mục sản phẩm VNW cần bổ sung</t>
  </si>
  <si>
    <t xml:space="preserve">Bộ tiêu chí được duyệt</t>
  </si>
  <si>
    <t xml:space="preserve">Lập danh sách nguồn tìm partner</t>
  </si>
  <si>
    <t xml:space="preserve">Các kênh: giới thiệu, vendor, sự kiện, thị trường</t>
  </si>
  <si>
    <t xml:space="preserve">Danh sách nguồn</t>
  </si>
  <si>
    <t xml:space="preserve">Lập long list và chấm sơ bộ theo tiêu chí</t>
  </si>
  <si>
    <t xml:space="preserve">Bộ tiêu chí 1.1; danh sách nguồn 1.2</t>
  </si>
  <si>
    <t xml:space="preserve">Long list có điểm</t>
  </si>
  <si>
    <t xml:space="preserve">Chốt short list partner 'A'</t>
  </si>
  <si>
    <t xml:space="preserve">Chuẩn bị presentation (công ty, VTF, đề xuất hợp tác)</t>
  </si>
  <si>
    <t xml:space="preserve">Deck giới thiệu công ty và VTF; proposal giải pháp</t>
  </si>
  <si>
    <t xml:space="preserve">Deck sẵn sàng</t>
  </si>
  <si>
    <t xml:space="preserve">Liên hệ đầu mối partner và đặt lịch</t>
  </si>
  <si>
    <t xml:space="preserve">Thông tin đầu mối phía partner</t>
  </si>
  <si>
    <t xml:space="preserve">Lịch họp đã xác nhận</t>
  </si>
  <si>
    <t xml:space="preserve">Thuyết trình / gặp gỡ lần đầu</t>
  </si>
  <si>
    <t xml:space="preserve">Deck 2.1</t>
  </si>
  <si>
    <t xml:space="preserve">Biên bản buổi gặp</t>
  </si>
  <si>
    <t xml:space="preserve">Nhận phản hồi quan tâm từ partner</t>
  </si>
  <si>
    <t xml:space="preserve">Partner đồng ý đi tiếp</t>
  </si>
  <si>
    <t xml:space="preserve">Chuẩn bị mẫu NDA (pháp chế duyệt)</t>
  </si>
  <si>
    <t xml:space="preserve">Mẫu NDA chuẩn</t>
  </si>
  <si>
    <t xml:space="preserve">NDA bản gửi đi</t>
  </si>
  <si>
    <t xml:space="preserve">Gửi và thương lượng điều khoản NDA</t>
  </si>
  <si>
    <t xml:space="preserve">NDA 3.1</t>
  </si>
  <si>
    <t xml:space="preserve">NDA chốt nội dung</t>
  </si>
  <si>
    <t xml:space="preserve">Ký NDA và lưu bản gốc</t>
  </si>
  <si>
    <t xml:space="preserve">Người ký hai bên</t>
  </si>
  <si>
    <t xml:space="preserve">Nhận company profile của partner</t>
  </si>
  <si>
    <t xml:space="preserve">Company profile</t>
  </si>
  <si>
    <t xml:space="preserve">Nhận product deck của partner</t>
  </si>
  <si>
    <t xml:space="preserve">Product deck</t>
  </si>
  <si>
    <t xml:space="preserve">Nhận price policy của partner</t>
  </si>
  <si>
    <t xml:space="preserve">Price policy</t>
  </si>
  <si>
    <t xml:space="preserve">Nhận / thống nhất biz collaboration model</t>
  </si>
  <si>
    <t xml:space="preserve">Mô hình hợp tác kinh doanh</t>
  </si>
  <si>
    <t xml:space="preserve">Rà soát tính đầy đủ của hồ sơ</t>
  </si>
  <si>
    <t xml:space="preserve">Hồ sơ 4.1 đến 4.4</t>
  </si>
  <si>
    <t xml:space="preserve">Hồ sơ đủ, sẵn sàng tech meeting</t>
  </si>
  <si>
    <t xml:space="preserve">Chuẩn bị bộ tiêu chí đánh giá và checklist tech meeting</t>
  </si>
  <si>
    <t xml:space="preserve">Tiêu chí đánh giá tiềm năng hợp tác sản phẩm (đang là dấu ?)</t>
  </si>
  <si>
    <t xml:space="preserve">Checklist có tick</t>
  </si>
  <si>
    <t xml:space="preserve">Xác định sản phẩm VNW định hướng (viết ra)</t>
  </si>
  <si>
    <t xml:space="preserve">Danh mục SP VNW</t>
  </si>
  <si>
    <t xml:space="preserve">Danh sách SP định hướng</t>
  </si>
  <si>
    <t xml:space="preserve">Tổ chức tech meeting</t>
  </si>
  <si>
    <t xml:space="preserve">Hồ sơ bước 4; checklist 5.1</t>
  </si>
  <si>
    <t xml:space="preserve">Biên bản tech meeting</t>
  </si>
  <si>
    <t xml:space="preserve">Chấm checklist và tổng hợp kết quả</t>
  </si>
  <si>
    <t xml:space="preserve">Biên bản; điền sheet 'Chấm điểm'</t>
  </si>
  <si>
    <t xml:space="preserve">Điểm tổng hợp</t>
  </si>
  <si>
    <t xml:space="preserve">Kết luận OK / không OK</t>
  </si>
  <si>
    <t xml:space="preserve">Kết luận tech meeting</t>
  </si>
  <si>
    <t xml:space="preserve">Trình duyệt nội bộ (go / no-go)</t>
  </si>
  <si>
    <t xml:space="preserve">Quyết định của cấp duyệt</t>
  </si>
  <si>
    <t xml:space="preserve">Thông báo kết quả cho partner</t>
  </si>
  <si>
    <t xml:space="preserve">Quyết định 6.1</t>
  </si>
  <si>
    <t xml:space="preserve">Partner được thông báo</t>
  </si>
  <si>
    <t xml:space="preserve">Chốt mô hình hợp tác và tài chính</t>
  </si>
  <si>
    <t xml:space="preserve">Price policy; collaboration model; chính sách giá VNW</t>
  </si>
  <si>
    <t xml:space="preserve">Mô hình $ thống nhất</t>
  </si>
  <si>
    <t xml:space="preserve">Soạn dự thảo MOA</t>
  </si>
  <si>
    <t xml:space="preserve">Mô hình 7.1</t>
  </si>
  <si>
    <t xml:space="preserve">Dự thảo MOA</t>
  </si>
  <si>
    <t xml:space="preserve">Pháp chế rà soát MOA</t>
  </si>
  <si>
    <t xml:space="preserve">MOA đã rà soát</t>
  </si>
  <si>
    <t xml:space="preserve">Thương lượng và ký MOA</t>
  </si>
  <si>
    <t xml:space="preserve">MOA đã rà soát; người ký</t>
  </si>
  <si>
    <t xml:space="preserve">Truyền thông: cập nhật hồ sơ biz VNW và checklist VTF</t>
  </si>
  <si>
    <t xml:space="preserve">Thông tin partner mới</t>
  </si>
  <si>
    <t xml:space="preserve">Hồ sơ biz VNW được cập nhật</t>
  </si>
  <si>
    <t xml:space="preserve">Truyền thông: partner công bố hợp tác</t>
  </si>
  <si>
    <t xml:space="preserve">Nội dung truyền thông thống nhất</t>
  </si>
  <si>
    <t xml:space="preserve">Bài / thông cáo đã đăng</t>
  </si>
  <si>
    <t xml:space="preserve">Đóng gói VTF theo ngành</t>
  </si>
  <si>
    <t xml:space="preserve">Gói giải pháp, giá, mô hình hợp tác</t>
  </si>
  <si>
    <t xml:space="preserve">Gói VTF theo ngành</t>
  </si>
  <si>
    <t xml:space="preserve">Chuẩn bị tài liệu đào tạo 2 chiều</t>
  </si>
  <si>
    <t xml:space="preserve">Tài liệu sản phẩm hai bên</t>
  </si>
  <si>
    <t xml:space="preserve">Bộ tài liệu đào tạo</t>
  </si>
  <si>
    <t xml:space="preserve">Chạy chương trình đào tạo VNW cho tech partner</t>
  </si>
  <si>
    <t xml:space="preserve">Tài liệu 8.4</t>
  </si>
  <si>
    <t xml:space="preserve">Đã đào tạo</t>
  </si>
  <si>
    <t xml:space="preserve">Biz matching với khách hàng của tech partner</t>
  </si>
  <si>
    <t xml:space="preserve">Danh sách KH của tech partner</t>
  </si>
  <si>
    <t xml:space="preserve">Danh sách cơ hội ghép cặp</t>
  </si>
  <si>
    <t xml:space="preserve">Thiết lập vận hành và đồng bộ định kỳ</t>
  </si>
  <si>
    <t xml:space="preserve">Lịch họp, đầu mối hai bên</t>
  </si>
  <si>
    <t xml:space="preserve">Nhịp vận hành thiết lập</t>
  </si>
  <si>
    <t xml:space="preserve">Câu hỏi mở (các dấu ? đỏ trên whiteboard)</t>
  </si>
  <si>
    <t xml:space="preserve">Chốt xong thì chuyển Trạng thái = 'Đã chốt' và ghi quyết định.</t>
  </si>
  <si>
    <t xml:space="preserve">Câu hỏi cần chốt</t>
  </si>
  <si>
    <t xml:space="preserve">Người phụ trách</t>
  </si>
  <si>
    <t xml:space="preserve">Quyết định</t>
  </si>
  <si>
    <t xml:space="preserve">Còn mở:</t>
  </si>
  <si>
    <t xml:space="preserve">Tiêu chí chọn partner (sourcing) gồm những gì?</t>
  </si>
  <si>
    <t xml:space="preserve">Mở</t>
  </si>
  <si>
    <t xml:space="preserve">Các nguồn tìm partner gồm những kênh nào?</t>
  </si>
  <si>
    <t xml:space="preserve">Presentation (công ty / VTF / proposal giải pháp) cần có nội dung gì?</t>
  </si>
  <si>
    <t xml:space="preserve">Danh mục sản phẩm VNW định hướng cần partner bổ sung là gì (cần viết ra)?</t>
  </si>
  <si>
    <t xml:space="preserve">Tiêu chí đánh giá tiềm năng hợp tác sản phẩm ở tech meeting?</t>
  </si>
  <si>
    <t xml:space="preserve">'3 điểm…' cần làm rõ sau tech meeting (chữ trên bảng chưa đọc rõ) là gì?</t>
  </si>
  <si>
    <t xml:space="preserve">Bước 6 thực chất là bước gì (duyệt / go-no-go?)</t>
  </si>
  <si>
    <t xml:space="preserve">Mô hình tài chính ($) trong MOA: chia doanh thu hay mô hình khác?</t>
  </si>
  <si>
    <t xml:space="preserve">Truyền thông: checklist VTF và nội dung cập nhật hồ sơ biz VNW gồm gì?</t>
  </si>
  <si>
    <t xml:space="preserve">Tài liệu đào tạo 2 chiều gồm những tài liệu nào?</t>
  </si>
  <si>
    <t xml:space="preserve">Biz matching: dùng danh sách khách hàng nào của tech partner, ghép theo quy trình nào?</t>
  </si>
  <si>
    <t xml:space="preserve">'Setup … liên tục': setup những gì, tần suất ra sao?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</si>
</sst>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%"/>
    <numFmt numFmtId="167" formatCode="dd/mm/yyyy"/>
    <numFmt numFmtId="168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8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i val="true"/>
      <sz val="10"/>
      <color rgb="FFC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8E1"/>
        <bgColor rgb="FFF9F9F9"/>
      </patternFill>
    </fill>
    <fill>
      <patternFill patternType="solid">
        <fgColor rgb="FFF2F2F2"/>
        <bgColor rgb="FFEDEDED"/>
      </patternFill>
    </fill>
    <fill>
      <patternFill patternType="solid">
        <fgColor rgb="FF7F7F7F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2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2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0">
    <dxf>
      <fill>
        <patternFill>
          <bgColor rgb="FFC6EFCE"/>
        </patternFill>
      </fill>
    </dxf>
    <dxf>
      <fill>
        <patternFill>
          <bgColor rgb="FFDDEBF7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>
          <bgColor rgb="FFEDEDED"/>
        </patternFill>
      </fill>
    </dxf>
    <dxf>
      <fill>
        <patternFill patternType="solid">
          <fgColor rgb="FFFF9999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>
          <bgColor rgb="FFF8CBAD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9999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9F9F9"/>
      <rgbColor rgb="FFFF00FF"/>
      <rgbColor rgb="FF00FFFF"/>
      <rgbColor rgb="FF9C0006"/>
      <rgbColor rgb="FF008000"/>
      <rgbColor rgb="FF000080"/>
      <rgbColor rgb="FF7F7F7F"/>
      <rgbColor rgb="FF800080"/>
      <rgbColor rgb="FF008080"/>
      <rgbColor rgb="FFBFBFBF"/>
      <rgbColor rgb="FF808080"/>
      <rgbColor rgb="FF9999FF"/>
      <rgbColor rgb="FFC0504D"/>
      <rgbColor rgb="FFFFF8E1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EDEDED"/>
      <rgbColor rgb="FFFF9999"/>
      <rgbColor rgb="FFFFC7CE"/>
      <rgbColor rgb="FFF8CBAD"/>
      <rgbColor rgb="FF4F81BD"/>
      <rgbColor rgb="FF33CCCC"/>
      <rgbColor rgb="FF9BBB59"/>
      <rgbColor rgb="FFFFCC00"/>
      <rgbColor rgb="FFFF99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Số partner đang ở từng bước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Dashboard!I9</c:f>
              <c:strCache>
                <c:ptCount val="1"/>
                <c:pt idx="0">
                  <c:v>Số partner đang ở bước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Dashboard!$B$10:$B$17</c:f>
              <c:strCache>
                <c:ptCount val="8"/>
                <c:pt idx="0">
                  <c:v>Sourcing</c:v>
                </c:pt>
                <c:pt idx="1">
                  <c:v>Approach</c:v>
                </c:pt>
                <c:pt idx="2">
                  <c:v>NDA</c:v>
                </c:pt>
                <c:pt idx="3">
                  <c:v>Hồ sơ của partner (A)</c:v>
                </c:pt>
                <c:pt idx="4">
                  <c:v>Tech meeting</c:v>
                </c:pt>
                <c:pt idx="5">
                  <c:v>Quyết định / duyệt (giả định)</c:v>
                </c:pt>
                <c:pt idx="6">
                  <c:v>MOA</c:v>
                </c:pt>
                <c:pt idx="7">
                  <c:v>Sau ký: vận hành liên tục</c:v>
                </c:pt>
              </c:strCache>
            </c:strRef>
          </c:cat>
          <c:val>
            <c:numRef>
              <c:f>Dashboard!$I$10:$I$17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gapWidth val="150"/>
        <c:overlap val="0"/>
        <c:axId val="88270787"/>
        <c:axId val="16192938"/>
      </c:barChart>
      <c:catAx>
        <c:axId val="8827078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192938"/>
        <c:crosses val="autoZero"/>
        <c:auto val="1"/>
        <c:lblAlgn val="ctr"/>
        <c:lblOffset val="100"/>
        <c:noMultiLvlLbl val="0"/>
      </c:catAx>
      <c:valAx>
        <c:axId val="1619293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27078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Task theo bước: xong / đang làm / bị chặn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Dashboard!D9</c:f>
              <c:strCache>
                <c:ptCount val="1"/>
                <c:pt idx="0">
                  <c:v>Xong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Dashboard!$A$10:$A$17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cat>
          <c:val>
            <c:numRef>
              <c:f>Dashboard!$D$10:$D$17</c:f>
              <c:numCache>
                <c:formatCode>General</c:formatCode>
                <c:ptCount val="8"/>
                <c:pt idx="0">
                  <c:v>8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Dashboard!E9</c:f>
              <c:strCache>
                <c:ptCount val="1"/>
                <c:pt idx="0">
                  <c:v>Đang làm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Dashboard!$A$10:$A$17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cat>
          <c:val>
            <c:numRef>
              <c:f>Dashboard!$E$10:$E$17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2"/>
          <c:order val="2"/>
          <c:tx>
            <c:strRef>
              <c:f>Dashboard!F9</c:f>
              <c:strCache>
                <c:ptCount val="1"/>
                <c:pt idx="0">
                  <c:v>Bị chặn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Dashboard!$A$10:$A$17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cat>
          <c:val>
            <c:numRef>
              <c:f>Dashboard!$F$10:$F$17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gapWidth val="150"/>
        <c:overlap val="100"/>
        <c:axId val="97076609"/>
        <c:axId val="97671075"/>
      </c:barChart>
      <c:catAx>
        <c:axId val="970766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671075"/>
        <c:crosses val="autoZero"/>
        <c:auto val="1"/>
        <c:lblAlgn val="ctr"/>
        <c:lblOffset val="100"/>
        <c:noMultiLvlLbl val="0"/>
      </c:catAx>
      <c:valAx>
        <c:axId val="976710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0766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3</xdr:row>
      <xdr:rowOff>160920</xdr:rowOff>
    </xdr:from>
    <xdr:to>
      <xdr:col>19</xdr:col>
      <xdr:colOff>256320</xdr:colOff>
      <xdr:row>15</xdr:row>
      <xdr:rowOff>135360</xdr:rowOff>
    </xdr:to>
    <xdr:graphicFrame>
      <xdr:nvGraphicFramePr>
        <xdr:cNvPr id="0" name="Chart 1"/>
        <xdr:cNvGraphicFramePr/>
      </xdr:nvGraphicFramePr>
      <xdr:xfrm>
        <a:off x="12453120" y="7621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20</xdr:row>
      <xdr:rowOff>160560</xdr:rowOff>
    </xdr:from>
    <xdr:to>
      <xdr:col>19</xdr:col>
      <xdr:colOff>256320</xdr:colOff>
      <xdr:row>35</xdr:row>
      <xdr:rowOff>182520</xdr:rowOff>
    </xdr:to>
    <xdr:graphicFrame>
      <xdr:nvGraphicFramePr>
        <xdr:cNvPr id="1" name="Chart 2"/>
        <xdr:cNvGraphicFramePr/>
      </xdr:nvGraphicFramePr>
      <xdr:xfrm>
        <a:off x="12453120" y="46195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5" t="s">
        <v>3</v>
      </c>
      <c r="B5" s="6" t="s">
        <v>4</v>
      </c>
    </row>
    <row r="6" customFormat="false" ht="23.85" hidden="false" customHeight="false" outlineLevel="0" collapsed="false">
      <c r="A6" s="5" t="s">
        <v>5</v>
      </c>
      <c r="B6" s="6" t="s">
        <v>6</v>
      </c>
    </row>
    <row r="7" customFormat="false" ht="15" hidden="false" customHeight="false" outlineLevel="0" collapsed="false">
      <c r="A7" s="5" t="s">
        <v>7</v>
      </c>
      <c r="B7" s="6" t="s">
        <v>8</v>
      </c>
    </row>
    <row r="8" customFormat="false" ht="15" hidden="false" customHeight="false" outlineLevel="0" collapsed="false">
      <c r="A8" s="5" t="s">
        <v>9</v>
      </c>
      <c r="B8" s="6" t="s">
        <v>10</v>
      </c>
    </row>
    <row r="9" customFormat="false" ht="15" hidden="false" customHeight="false" outlineLevel="0" collapsed="false">
      <c r="A9" s="5"/>
      <c r="B9" s="6"/>
    </row>
    <row r="10" customFormat="false" ht="15" hidden="false" customHeight="false" outlineLevel="0" collapsed="false">
      <c r="A10" s="3" t="s">
        <v>11</v>
      </c>
      <c r="B10" s="4"/>
    </row>
    <row r="11" customFormat="false" ht="15" hidden="false" customHeight="false" outlineLevel="0" collapsed="false">
      <c r="A11" s="5" t="s">
        <v>12</v>
      </c>
      <c r="B11" s="6" t="s">
        <v>13</v>
      </c>
    </row>
    <row r="12" customFormat="false" ht="15" hidden="false" customHeight="false" outlineLevel="0" collapsed="false">
      <c r="A12" s="5" t="s">
        <v>12</v>
      </c>
      <c r="B12" s="6" t="s">
        <v>14</v>
      </c>
    </row>
    <row r="13" customFormat="false" ht="15" hidden="false" customHeight="false" outlineLevel="0" collapsed="false">
      <c r="A13" s="5" t="s">
        <v>12</v>
      </c>
      <c r="B13" s="6" t="s">
        <v>15</v>
      </c>
    </row>
    <row r="14" customFormat="false" ht="15" hidden="false" customHeight="false" outlineLevel="0" collapsed="false">
      <c r="A14" s="5" t="s">
        <v>12</v>
      </c>
      <c r="B14" s="6" t="s">
        <v>16</v>
      </c>
    </row>
    <row r="15" customFormat="false" ht="15" hidden="false" customHeight="false" outlineLevel="0" collapsed="false">
      <c r="A15" s="5"/>
      <c r="B15" s="6"/>
    </row>
    <row r="16" customFormat="false" ht="15" hidden="false" customHeight="false" outlineLevel="0" collapsed="false">
      <c r="A16" s="3" t="s">
        <v>17</v>
      </c>
      <c r="B16" s="4"/>
    </row>
    <row r="17" customFormat="false" ht="15" hidden="false" customHeight="false" outlineLevel="0" collapsed="false">
      <c r="A17" s="7" t="s">
        <v>18</v>
      </c>
      <c r="B17" s="6" t="s">
        <v>19</v>
      </c>
    </row>
    <row r="18" customFormat="false" ht="15" hidden="false" customHeight="false" outlineLevel="0" collapsed="false">
      <c r="A18" s="5" t="s">
        <v>20</v>
      </c>
      <c r="B18" s="6" t="s">
        <v>21</v>
      </c>
    </row>
    <row r="19" customFormat="false" ht="15" hidden="false" customHeight="false" outlineLevel="0" collapsed="false">
      <c r="A19" s="8" t="s">
        <v>22</v>
      </c>
      <c r="B19" s="6" t="s">
        <v>23</v>
      </c>
    </row>
    <row r="20" customFormat="false" ht="15" hidden="false" customHeight="false" outlineLevel="0" collapsed="false">
      <c r="A20" s="5"/>
      <c r="B20" s="6"/>
    </row>
    <row r="21" customFormat="false" ht="15" hidden="false" customHeight="false" outlineLevel="0" collapsed="false">
      <c r="A21" s="3" t="s">
        <v>24</v>
      </c>
      <c r="B21" s="4"/>
    </row>
    <row r="22" customFormat="false" ht="15" hidden="false" customHeight="false" outlineLevel="0" collapsed="false">
      <c r="A22" s="5" t="s">
        <v>12</v>
      </c>
      <c r="B22" s="6" t="s">
        <v>25</v>
      </c>
    </row>
    <row r="23" customFormat="false" ht="23.85" hidden="false" customHeight="false" outlineLevel="0" collapsed="false">
      <c r="A23" s="5" t="s">
        <v>12</v>
      </c>
      <c r="B23" s="6" t="s">
        <v>26</v>
      </c>
    </row>
    <row r="24" customFormat="false" ht="15" hidden="false" customHeight="false" outlineLevel="0" collapsed="false">
      <c r="A24" s="5"/>
      <c r="B24" s="6"/>
    </row>
    <row r="25" customFormat="false" ht="15" hidden="false" customHeight="false" outlineLevel="0" collapsed="false">
      <c r="A25" s="3" t="s">
        <v>27</v>
      </c>
      <c r="B25" s="4"/>
    </row>
    <row r="26" customFormat="false" ht="23.85" hidden="false" customHeight="false" outlineLevel="0" collapsed="false">
      <c r="A26" s="5" t="s">
        <v>12</v>
      </c>
      <c r="B26" s="6" t="s">
        <v>28</v>
      </c>
    </row>
    <row r="27" customFormat="false" ht="15" hidden="false" customHeight="false" outlineLevel="0" collapsed="false">
      <c r="A27" s="5" t="s">
        <v>12</v>
      </c>
      <c r="B27" s="6" t="s">
        <v>29</v>
      </c>
    </row>
    <row r="28" customFormat="false" ht="15" hidden="false" customHeight="false" outlineLevel="0" collapsed="false">
      <c r="A28" s="5" t="s">
        <v>12</v>
      </c>
      <c r="B28" s="6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22"/>
    <col collapsed="false" customWidth="true" hidden="false" outlineLevel="0" max="9" min="8" style="0" width="14"/>
  </cols>
  <sheetData>
    <row r="1" customFormat="false" ht="17.35" hidden="false" customHeight="false" outlineLevel="0" collapsed="false">
      <c r="A1" s="1" t="s">
        <v>31</v>
      </c>
    </row>
    <row r="2" customFormat="false" ht="15" hidden="false" customHeight="false" outlineLevel="0" collapsed="false">
      <c r="A2" s="2" t="s">
        <v>32</v>
      </c>
    </row>
    <row r="4" customFormat="false" ht="15" hidden="false" customHeight="false" outlineLevel="0" collapsed="false">
      <c r="A4" s="2" t="str">
        <f aca="true">"Cập nhật: "&amp;TEXT(TODAY(),"dd/mm/yyyy")</f>
        <v>Cập nhật: 30/10/2026</v>
      </c>
    </row>
    <row r="5" customFormat="false" ht="27.75" hidden="false" customHeight="true" outlineLevel="0" collapsed="false">
      <c r="A5" s="9" t="s">
        <v>33</v>
      </c>
      <c r="B5" s="9" t="s">
        <v>34</v>
      </c>
      <c r="C5" s="9" t="s">
        <v>35</v>
      </c>
      <c r="D5" s="9" t="s">
        <v>36</v>
      </c>
      <c r="E5" s="9" t="s">
        <v>37</v>
      </c>
      <c r="F5" s="9" t="s">
        <v>38</v>
      </c>
      <c r="G5" s="9" t="s">
        <v>39</v>
      </c>
    </row>
    <row r="6" customFormat="false" ht="36" hidden="false" customHeight="true" outlineLevel="0" collapsed="false">
      <c r="A6" s="10" t="n">
        <f aca="false">COUNTA(Partner!$A$5:$A$54)</f>
        <v>2</v>
      </c>
      <c r="B6" s="10" t="n">
        <f aca="false">A6-COUNTIF(Partner!$U$5:$U$54,"Hoàn tất")</f>
        <v>2</v>
      </c>
      <c r="C6" s="10" t="n">
        <f aca="false">COUNTA(Task!$B$5:$B$404)-COUNTIF(Task!$K$5:$K$404,"Không áp dụng")</f>
        <v>40</v>
      </c>
      <c r="D6" s="11" t="n">
        <f aca="false">IF(C6=0,0,COUNTIF(Task!$K$5:$K$404,"Hoàn thành")/C6)</f>
        <v>0.425</v>
      </c>
      <c r="E6" s="10" t="n">
        <f aca="false">SUM(Task!$O$5:$O$404)</f>
        <v>1</v>
      </c>
      <c r="F6" s="10" t="n">
        <f aca="false">COUNTIF(Task!$K$5:$K$404,"Bị chặn")</f>
        <v>1</v>
      </c>
      <c r="G6" s="10" t="n">
        <f aca="true">COUNTIFS(Task!$J$5:$J$404,"&gt;="&amp;TODAY(),Task!$J$5:$J$404,"&lt;="&amp;TODAY()+7,Task!$K$5:$K$404,"&lt;&gt;Hoàn thành",Task!$K$5:$K$404,"&lt;&gt;Không áp dụng")</f>
        <v>2</v>
      </c>
    </row>
    <row r="8" customFormat="false" ht="15" hidden="false" customHeight="false" outlineLevel="0" collapsed="false">
      <c r="A8" s="12" t="s">
        <v>40</v>
      </c>
    </row>
    <row r="9" customFormat="false" ht="30" hidden="false" customHeight="true" outlineLevel="0" collapsed="false">
      <c r="A9" s="13" t="s">
        <v>41</v>
      </c>
      <c r="B9" s="13" t="s">
        <v>42</v>
      </c>
      <c r="C9" s="13" t="s">
        <v>35</v>
      </c>
      <c r="D9" s="13" t="s">
        <v>43</v>
      </c>
      <c r="E9" s="13" t="s">
        <v>44</v>
      </c>
      <c r="F9" s="13" t="s">
        <v>45</v>
      </c>
      <c r="G9" s="13" t="s">
        <v>46</v>
      </c>
      <c r="H9" s="13" t="s">
        <v>47</v>
      </c>
      <c r="I9" s="13" t="s">
        <v>48</v>
      </c>
    </row>
    <row r="10" customFormat="false" ht="15" hidden="false" customHeight="false" outlineLevel="0" collapsed="false">
      <c r="A10" s="14" t="n">
        <v>1</v>
      </c>
      <c r="B10" s="15" t="str">
        <f aca="false">INDEX('Quy trình'!$B$5:$B$12,$A10)</f>
        <v>Sourcing</v>
      </c>
      <c r="C10" s="14" t="n">
        <f aca="false">COUNTIFS(Task!$C$5:$C$404,$A10)-COUNTIFS(Task!$C$5:$C$404,$A10,Task!$K$5:$K$404,"Không áp dụng")</f>
        <v>8</v>
      </c>
      <c r="D10" s="14" t="n">
        <f aca="false">COUNTIFS(Task!$C$5:$C$404,$A10,Task!$K$5:$K$404,"Hoàn thành")</f>
        <v>8</v>
      </c>
      <c r="E10" s="14" t="n">
        <f aca="false">COUNTIFS(Task!$C$5:$C$404,$A10,Task!$K$5:$K$404,"Đang làm")</f>
        <v>0</v>
      </c>
      <c r="F10" s="14" t="n">
        <f aca="false">COUNTIFS(Task!$C$5:$C$404,$A10,Task!$K$5:$K$404,"Bị chặn")</f>
        <v>0</v>
      </c>
      <c r="G10" s="14" t="n">
        <f aca="false">SUMIFS(Task!$O$5:$O$404,Task!$C$5:$C$404,$A10)</f>
        <v>0</v>
      </c>
      <c r="H10" s="16" t="n">
        <f aca="false">IF(C10=0,0,D10/C10)</f>
        <v>1</v>
      </c>
      <c r="I10" s="14" t="n">
        <f aca="false">COUNTIF(Partner!$N$5:$N$54,$A10)</f>
        <v>0</v>
      </c>
    </row>
    <row r="11" customFormat="false" ht="15" hidden="false" customHeight="false" outlineLevel="0" collapsed="false">
      <c r="A11" s="14" t="n">
        <v>2</v>
      </c>
      <c r="B11" s="15" t="str">
        <f aca="false">INDEX('Quy trình'!$B$5:$B$12,$A11)</f>
        <v>Approach</v>
      </c>
      <c r="C11" s="14" t="n">
        <f aca="false">COUNTIFS(Task!$C$5:$C$404,$A11)-COUNTIFS(Task!$C$5:$C$404,$A11,Task!$K$5:$K$404,"Không áp dụng")</f>
        <v>6</v>
      </c>
      <c r="D11" s="14" t="n">
        <f aca="false">COUNTIFS(Task!$C$5:$C$404,$A11,Task!$K$5:$K$404,"Hoàn thành")</f>
        <v>4</v>
      </c>
      <c r="E11" s="14" t="n">
        <f aca="false">COUNTIFS(Task!$C$5:$C$404,$A11,Task!$K$5:$K$404,"Đang làm")</f>
        <v>1</v>
      </c>
      <c r="F11" s="14" t="n">
        <f aca="false">COUNTIFS(Task!$C$5:$C$404,$A11,Task!$K$5:$K$404,"Bị chặn")</f>
        <v>1</v>
      </c>
      <c r="G11" s="14" t="n">
        <f aca="false">SUMIFS(Task!$O$5:$O$404,Task!$C$5:$C$404,$A11)</f>
        <v>0</v>
      </c>
      <c r="H11" s="16" t="n">
        <f aca="false">IF(C11=0,0,D11/C11)</f>
        <v>0.666666666666667</v>
      </c>
      <c r="I11" s="14" t="n">
        <f aca="false">COUNTIF(Partner!$N$5:$N$54,$A11)</f>
        <v>1</v>
      </c>
    </row>
    <row r="12" customFormat="false" ht="15" hidden="false" customHeight="false" outlineLevel="0" collapsed="false">
      <c r="A12" s="14" t="n">
        <v>3</v>
      </c>
      <c r="B12" s="15" t="str">
        <f aca="false">INDEX('Quy trình'!$B$5:$B$12,$A12)</f>
        <v>NDA</v>
      </c>
      <c r="C12" s="14" t="n">
        <f aca="false">COUNTIFS(Task!$C$5:$C$404,$A12)-COUNTIFS(Task!$C$5:$C$404,$A12,Task!$K$5:$K$404,"Không áp dụng")</f>
        <v>3</v>
      </c>
      <c r="D12" s="14" t="n">
        <f aca="false">COUNTIFS(Task!$C$5:$C$404,$A12,Task!$K$5:$K$404,"Hoàn thành")</f>
        <v>3</v>
      </c>
      <c r="E12" s="14" t="n">
        <f aca="false">COUNTIFS(Task!$C$5:$C$404,$A12,Task!$K$5:$K$404,"Đang làm")</f>
        <v>0</v>
      </c>
      <c r="F12" s="14" t="n">
        <f aca="false">COUNTIFS(Task!$C$5:$C$404,$A12,Task!$K$5:$K$404,"Bị chặn")</f>
        <v>0</v>
      </c>
      <c r="G12" s="14" t="n">
        <f aca="false">SUMIFS(Task!$O$5:$O$404,Task!$C$5:$C$404,$A12)</f>
        <v>0</v>
      </c>
      <c r="H12" s="16" t="n">
        <f aca="false">IF(C12=0,0,D12/C12)</f>
        <v>1</v>
      </c>
      <c r="I12" s="14" t="n">
        <f aca="false">COUNTIF(Partner!$N$5:$N$54,$A12)</f>
        <v>0</v>
      </c>
    </row>
    <row r="13" customFormat="false" ht="15" hidden="false" customHeight="false" outlineLevel="0" collapsed="false">
      <c r="A13" s="14" t="n">
        <v>4</v>
      </c>
      <c r="B13" s="15" t="str">
        <f aca="false">INDEX('Quy trình'!$B$5:$B$12,$A13)</f>
        <v>Hồ sơ của partner (A)</v>
      </c>
      <c r="C13" s="14" t="n">
        <f aca="false">COUNTIFS(Task!$C$5:$C$404,$A13)-COUNTIFS(Task!$C$5:$C$404,$A13,Task!$K$5:$K$404,"Không áp dụng")</f>
        <v>5</v>
      </c>
      <c r="D13" s="14" t="n">
        <f aca="false">COUNTIFS(Task!$C$5:$C$404,$A13,Task!$K$5:$K$404,"Hoàn thành")</f>
        <v>2</v>
      </c>
      <c r="E13" s="14" t="n">
        <f aca="false">COUNTIFS(Task!$C$5:$C$404,$A13,Task!$K$5:$K$404,"Đang làm")</f>
        <v>1</v>
      </c>
      <c r="F13" s="14" t="n">
        <f aca="false">COUNTIFS(Task!$C$5:$C$404,$A13,Task!$K$5:$K$404,"Bị chặn")</f>
        <v>0</v>
      </c>
      <c r="G13" s="14" t="n">
        <f aca="false">SUMIFS(Task!$O$5:$O$404,Task!$C$5:$C$404,$A13)</f>
        <v>1</v>
      </c>
      <c r="H13" s="16" t="n">
        <f aca="false">IF(C13=0,0,D13/C13)</f>
        <v>0.4</v>
      </c>
      <c r="I13" s="14" t="n">
        <f aca="false">COUNTIF(Partner!$N$5:$N$54,$A13)</f>
        <v>1</v>
      </c>
    </row>
    <row r="14" customFormat="false" ht="15" hidden="false" customHeight="false" outlineLevel="0" collapsed="false">
      <c r="A14" s="14" t="n">
        <v>5</v>
      </c>
      <c r="B14" s="15" t="str">
        <f aca="false">INDEX('Quy trình'!$B$5:$B$12,$A14)</f>
        <v>Tech meeting</v>
      </c>
      <c r="C14" s="14" t="n">
        <f aca="false">COUNTIFS(Task!$C$5:$C$404,$A14)-COUNTIFS(Task!$C$5:$C$404,$A14,Task!$K$5:$K$404,"Không áp dụng")</f>
        <v>5</v>
      </c>
      <c r="D14" s="14" t="n">
        <f aca="false">COUNTIFS(Task!$C$5:$C$404,$A14,Task!$K$5:$K$404,"Hoàn thành")</f>
        <v>0</v>
      </c>
      <c r="E14" s="14" t="n">
        <f aca="false">COUNTIFS(Task!$C$5:$C$404,$A14,Task!$K$5:$K$404,"Đang làm")</f>
        <v>0</v>
      </c>
      <c r="F14" s="14" t="n">
        <f aca="false">COUNTIFS(Task!$C$5:$C$404,$A14,Task!$K$5:$K$404,"Bị chặn")</f>
        <v>0</v>
      </c>
      <c r="G14" s="14" t="n">
        <f aca="false">SUMIFS(Task!$O$5:$O$404,Task!$C$5:$C$404,$A14)</f>
        <v>0</v>
      </c>
      <c r="H14" s="16" t="n">
        <f aca="false">IF(C14=0,0,D14/C14)</f>
        <v>0</v>
      </c>
      <c r="I14" s="14" t="n">
        <f aca="false">COUNTIF(Partner!$N$5:$N$54,$A14)</f>
        <v>0</v>
      </c>
    </row>
    <row r="15" customFormat="false" ht="15" hidden="false" customHeight="false" outlineLevel="0" collapsed="false">
      <c r="A15" s="14" t="n">
        <v>6</v>
      </c>
      <c r="B15" s="15" t="str">
        <f aca="false">INDEX('Quy trình'!$B$5:$B$12,$A15)</f>
        <v>Quyết định / duyệt (giả định)</v>
      </c>
      <c r="C15" s="14" t="n">
        <f aca="false">COUNTIFS(Task!$C$5:$C$404,$A15)-COUNTIFS(Task!$C$5:$C$404,$A15,Task!$K$5:$K$404,"Không áp dụng")</f>
        <v>2</v>
      </c>
      <c r="D15" s="14" t="n">
        <f aca="false">COUNTIFS(Task!$C$5:$C$404,$A15,Task!$K$5:$K$404,"Hoàn thành")</f>
        <v>0</v>
      </c>
      <c r="E15" s="14" t="n">
        <f aca="false">COUNTIFS(Task!$C$5:$C$404,$A15,Task!$K$5:$K$404,"Đang làm")</f>
        <v>0</v>
      </c>
      <c r="F15" s="14" t="n">
        <f aca="false">COUNTIFS(Task!$C$5:$C$404,$A15,Task!$K$5:$K$404,"Bị chặn")</f>
        <v>0</v>
      </c>
      <c r="G15" s="14" t="n">
        <f aca="false">SUMIFS(Task!$O$5:$O$404,Task!$C$5:$C$404,$A15)</f>
        <v>0</v>
      </c>
      <c r="H15" s="16" t="n">
        <f aca="false">IF(C15=0,0,D15/C15)</f>
        <v>0</v>
      </c>
      <c r="I15" s="14" t="n">
        <f aca="false">COUNTIF(Partner!$N$5:$N$54,$A15)</f>
        <v>0</v>
      </c>
    </row>
    <row r="16" customFormat="false" ht="15" hidden="false" customHeight="false" outlineLevel="0" collapsed="false">
      <c r="A16" s="14" t="n">
        <v>7</v>
      </c>
      <c r="B16" s="15" t="str">
        <f aca="false">INDEX('Quy trình'!$B$5:$B$12,$A16)</f>
        <v>MOA</v>
      </c>
      <c r="C16" s="14" t="n">
        <f aca="false">COUNTIFS(Task!$C$5:$C$404,$A16)-COUNTIFS(Task!$C$5:$C$404,$A16,Task!$K$5:$K$404,"Không áp dụng")</f>
        <v>4</v>
      </c>
      <c r="D16" s="14" t="n">
        <f aca="false">COUNTIFS(Task!$C$5:$C$404,$A16,Task!$K$5:$K$404,"Hoàn thành")</f>
        <v>0</v>
      </c>
      <c r="E16" s="14" t="n">
        <f aca="false">COUNTIFS(Task!$C$5:$C$404,$A16,Task!$K$5:$K$404,"Đang làm")</f>
        <v>0</v>
      </c>
      <c r="F16" s="14" t="n">
        <f aca="false">COUNTIFS(Task!$C$5:$C$404,$A16,Task!$K$5:$K$404,"Bị chặn")</f>
        <v>0</v>
      </c>
      <c r="G16" s="14" t="n">
        <f aca="false">SUMIFS(Task!$O$5:$O$404,Task!$C$5:$C$404,$A16)</f>
        <v>0</v>
      </c>
      <c r="H16" s="16" t="n">
        <f aca="false">IF(C16=0,0,D16/C16)</f>
        <v>0</v>
      </c>
      <c r="I16" s="14" t="n">
        <f aca="false">COUNTIF(Partner!$N$5:$N$54,$A16)</f>
        <v>0</v>
      </c>
    </row>
    <row r="17" customFormat="false" ht="15" hidden="false" customHeight="false" outlineLevel="0" collapsed="false">
      <c r="A17" s="14" t="n">
        <v>8</v>
      </c>
      <c r="B17" s="15" t="str">
        <f aca="false">INDEX('Quy trình'!$B$5:$B$12,$A17)</f>
        <v>Sau ký: vận hành liên tục</v>
      </c>
      <c r="C17" s="14" t="n">
        <f aca="false">COUNTIFS(Task!$C$5:$C$404,$A17)-COUNTIFS(Task!$C$5:$C$404,$A17,Task!$K$5:$K$404,"Không áp dụng")</f>
        <v>7</v>
      </c>
      <c r="D17" s="14" t="n">
        <f aca="false">COUNTIFS(Task!$C$5:$C$404,$A17,Task!$K$5:$K$404,"Hoàn thành")</f>
        <v>0</v>
      </c>
      <c r="E17" s="14" t="n">
        <f aca="false">COUNTIFS(Task!$C$5:$C$404,$A17,Task!$K$5:$K$404,"Đang làm")</f>
        <v>0</v>
      </c>
      <c r="F17" s="14" t="n">
        <f aca="false">COUNTIFS(Task!$C$5:$C$404,$A17,Task!$K$5:$K$404,"Bị chặn")</f>
        <v>0</v>
      </c>
      <c r="G17" s="14" t="n">
        <f aca="false">SUMIFS(Task!$O$5:$O$404,Task!$C$5:$C$404,$A17)</f>
        <v>0</v>
      </c>
      <c r="H17" s="16" t="n">
        <f aca="false">IF(C17=0,0,D17/C17)</f>
        <v>0</v>
      </c>
      <c r="I17" s="14" t="n">
        <f aca="false">COUNTIF(Partner!$N$5:$N$54,$A17)</f>
        <v>0</v>
      </c>
    </row>
    <row r="19" customFormat="false" ht="15" hidden="false" customHeight="false" outlineLevel="0" collapsed="false">
      <c r="A19" s="12" t="s">
        <v>49</v>
      </c>
    </row>
    <row r="20" customFormat="false" ht="15" hidden="false" customHeight="false" outlineLevel="0" collapsed="false">
      <c r="A20" s="13" t="s">
        <v>41</v>
      </c>
      <c r="B20" s="13" t="s">
        <v>50</v>
      </c>
      <c r="C20" s="13" t="s">
        <v>51</v>
      </c>
      <c r="D20" s="13" t="s">
        <v>52</v>
      </c>
      <c r="E20" s="13" t="s">
        <v>53</v>
      </c>
      <c r="F20" s="13" t="s">
        <v>54</v>
      </c>
      <c r="G20" s="13" t="s">
        <v>55</v>
      </c>
    </row>
    <row r="21" customFormat="false" ht="15" hidden="false" customHeight="false" outlineLevel="0" collapsed="false">
      <c r="A21" s="14" t="n">
        <f aca="false">IF(Partner!$A5="","",1)</f>
        <v>1</v>
      </c>
      <c r="B21" s="15" t="str">
        <f aca="false">IF(Partner!$A5="","",Partner!$A5)</f>
        <v>Partner mẫu A (ví dụ – xoá/ghi đè)</v>
      </c>
      <c r="C21" s="15" t="str">
        <f aca="false">IF(Partner!$A5="","",Partner!$O5)</f>
        <v>Hồ sơ của partner (A)</v>
      </c>
      <c r="D21" s="16" t="n">
        <f aca="false">IF(Partner!$A5="","",Partner!$R5)</f>
        <v>0.382352941176471</v>
      </c>
      <c r="E21" s="14" t="str">
        <f aca="false">IF(Partner!$A5="","",Partner!$U5)</f>
        <v>Có việc trễ</v>
      </c>
      <c r="F21" s="14" t="n">
        <f aca="false">IF(Partner!$A5="","",Partner!$S5)</f>
        <v>1</v>
      </c>
      <c r="G21" s="14" t="str">
        <f aca="false">IF(Partner!$A5="","",Partner!$V5)</f>
        <v>OK – đạt</v>
      </c>
    </row>
    <row r="22" customFormat="false" ht="15" hidden="false" customHeight="false" outlineLevel="0" collapsed="false">
      <c r="A22" s="14" t="n">
        <f aca="false">IF(Partner!$A6="","",2)</f>
        <v>2</v>
      </c>
      <c r="B22" s="15" t="str">
        <f aca="false">IF(Partner!$A6="","",Partner!$A6)</f>
        <v>Partner mẫu B (ví dụ – xoá/ghi đè)</v>
      </c>
      <c r="C22" s="15" t="str">
        <f aca="false">IF(Partner!$A6="","",Partner!$O6)</f>
        <v>Approach</v>
      </c>
      <c r="D22" s="16" t="n">
        <f aca="false">IF(Partner!$A6="","",Partner!$R6)</f>
        <v>0.117647058823529</v>
      </c>
      <c r="E22" s="14" t="str">
        <f aca="false">IF(Partner!$A6="","",Partner!$U6)</f>
        <v>Bị chặn</v>
      </c>
      <c r="F22" s="14" t="n">
        <f aca="false">IF(Partner!$A6="","",Partner!$S6)</f>
        <v>0</v>
      </c>
      <c r="G22" s="14" t="str">
        <f aca="false">IF(Partner!$A6="","",Partner!$V6)</f>
        <v>Chưa chấm đủ</v>
      </c>
    </row>
    <row r="23" customFormat="false" ht="15" hidden="false" customHeight="false" outlineLevel="0" collapsed="false">
      <c r="A23" s="14" t="str">
        <f aca="false">IF(Partner!$A7="","",3)</f>
        <v/>
      </c>
      <c r="B23" s="15" t="str">
        <f aca="false">IF(Partner!$A7="","",Partner!$A7)</f>
        <v/>
      </c>
      <c r="C23" s="15" t="str">
        <f aca="false">IF(Partner!$A7="","",Partner!$O7)</f>
        <v/>
      </c>
      <c r="D23" s="16" t="str">
        <f aca="false">IF(Partner!$A7="","",Partner!$R7)</f>
        <v/>
      </c>
      <c r="E23" s="14" t="str">
        <f aca="false">IF(Partner!$A7="","",Partner!$U7)</f>
        <v/>
      </c>
      <c r="F23" s="14" t="str">
        <f aca="false">IF(Partner!$A7="","",Partner!$S7)</f>
        <v/>
      </c>
      <c r="G23" s="14" t="str">
        <f aca="false">IF(Partner!$A7="","",Partner!$V7)</f>
        <v/>
      </c>
    </row>
    <row r="24" customFormat="false" ht="15" hidden="false" customHeight="false" outlineLevel="0" collapsed="false">
      <c r="A24" s="14" t="str">
        <f aca="false">IF(Partner!$A8="","",4)</f>
        <v/>
      </c>
      <c r="B24" s="15" t="str">
        <f aca="false">IF(Partner!$A8="","",Partner!$A8)</f>
        <v/>
      </c>
      <c r="C24" s="15" t="str">
        <f aca="false">IF(Partner!$A8="","",Partner!$O8)</f>
        <v/>
      </c>
      <c r="D24" s="16" t="str">
        <f aca="false">IF(Partner!$A8="","",Partner!$R8)</f>
        <v/>
      </c>
      <c r="E24" s="14" t="str">
        <f aca="false">IF(Partner!$A8="","",Partner!$U8)</f>
        <v/>
      </c>
      <c r="F24" s="14" t="str">
        <f aca="false">IF(Partner!$A8="","",Partner!$S8)</f>
        <v/>
      </c>
      <c r="G24" s="14" t="str">
        <f aca="false">IF(Partner!$A8="","",Partner!$V8)</f>
        <v/>
      </c>
    </row>
    <row r="25" customFormat="false" ht="15" hidden="false" customHeight="false" outlineLevel="0" collapsed="false">
      <c r="A25" s="14" t="str">
        <f aca="false">IF(Partner!$A9="","",5)</f>
        <v/>
      </c>
      <c r="B25" s="15" t="str">
        <f aca="false">IF(Partner!$A9="","",Partner!$A9)</f>
        <v/>
      </c>
      <c r="C25" s="15" t="str">
        <f aca="false">IF(Partner!$A9="","",Partner!$O9)</f>
        <v/>
      </c>
      <c r="D25" s="16" t="str">
        <f aca="false">IF(Partner!$A9="","",Partner!$R9)</f>
        <v/>
      </c>
      <c r="E25" s="14" t="str">
        <f aca="false">IF(Partner!$A9="","",Partner!$U9)</f>
        <v/>
      </c>
      <c r="F25" s="14" t="str">
        <f aca="false">IF(Partner!$A9="","",Partner!$S9)</f>
        <v/>
      </c>
      <c r="G25" s="14" t="str">
        <f aca="false">IF(Partner!$A9="","",Partner!$V9)</f>
        <v/>
      </c>
    </row>
    <row r="26" customFormat="false" ht="15" hidden="false" customHeight="false" outlineLevel="0" collapsed="false">
      <c r="A26" s="14" t="str">
        <f aca="false">IF(Partner!$A10="","",6)</f>
        <v/>
      </c>
      <c r="B26" s="15" t="str">
        <f aca="false">IF(Partner!$A10="","",Partner!$A10)</f>
        <v/>
      </c>
      <c r="C26" s="15" t="str">
        <f aca="false">IF(Partner!$A10="","",Partner!$O10)</f>
        <v/>
      </c>
      <c r="D26" s="16" t="str">
        <f aca="false">IF(Partner!$A10="","",Partner!$R10)</f>
        <v/>
      </c>
      <c r="E26" s="14" t="str">
        <f aca="false">IF(Partner!$A10="","",Partner!$U10)</f>
        <v/>
      </c>
      <c r="F26" s="14" t="str">
        <f aca="false">IF(Partner!$A10="","",Partner!$S10)</f>
        <v/>
      </c>
      <c r="G26" s="14" t="str">
        <f aca="false">IF(Partner!$A10="","",Partner!$V10)</f>
        <v/>
      </c>
    </row>
    <row r="27" customFormat="false" ht="15" hidden="false" customHeight="false" outlineLevel="0" collapsed="false">
      <c r="A27" s="14" t="str">
        <f aca="false">IF(Partner!$A11="","",7)</f>
        <v/>
      </c>
      <c r="B27" s="15" t="str">
        <f aca="false">IF(Partner!$A11="","",Partner!$A11)</f>
        <v/>
      </c>
      <c r="C27" s="15" t="str">
        <f aca="false">IF(Partner!$A11="","",Partner!$O11)</f>
        <v/>
      </c>
      <c r="D27" s="16" t="str">
        <f aca="false">IF(Partner!$A11="","",Partner!$R11)</f>
        <v/>
      </c>
      <c r="E27" s="14" t="str">
        <f aca="false">IF(Partner!$A11="","",Partner!$U11)</f>
        <v/>
      </c>
      <c r="F27" s="14" t="str">
        <f aca="false">IF(Partner!$A11="","",Partner!$S11)</f>
        <v/>
      </c>
      <c r="G27" s="14" t="str">
        <f aca="false">IF(Partner!$A11="","",Partner!$V11)</f>
        <v/>
      </c>
    </row>
    <row r="28" customFormat="false" ht="15" hidden="false" customHeight="false" outlineLevel="0" collapsed="false">
      <c r="A28" s="14" t="str">
        <f aca="false">IF(Partner!$A12="","",8)</f>
        <v/>
      </c>
      <c r="B28" s="15" t="str">
        <f aca="false">IF(Partner!$A12="","",Partner!$A12)</f>
        <v/>
      </c>
      <c r="C28" s="15" t="str">
        <f aca="false">IF(Partner!$A12="","",Partner!$O12)</f>
        <v/>
      </c>
      <c r="D28" s="16" t="str">
        <f aca="false">IF(Partner!$A12="","",Partner!$R12)</f>
        <v/>
      </c>
      <c r="E28" s="14" t="str">
        <f aca="false">IF(Partner!$A12="","",Partner!$U12)</f>
        <v/>
      </c>
      <c r="F28" s="14" t="str">
        <f aca="false">IF(Partner!$A12="","",Partner!$S12)</f>
        <v/>
      </c>
      <c r="G28" s="14" t="str">
        <f aca="false">IF(Partner!$A12="","",Partner!$V12)</f>
        <v/>
      </c>
    </row>
    <row r="29" customFormat="false" ht="15" hidden="false" customHeight="false" outlineLevel="0" collapsed="false">
      <c r="A29" s="14" t="str">
        <f aca="false">IF(Partner!$A13="","",9)</f>
        <v/>
      </c>
      <c r="B29" s="15" t="str">
        <f aca="false">IF(Partner!$A13="","",Partner!$A13)</f>
        <v/>
      </c>
      <c r="C29" s="15" t="str">
        <f aca="false">IF(Partner!$A13="","",Partner!$O13)</f>
        <v/>
      </c>
      <c r="D29" s="16" t="str">
        <f aca="false">IF(Partner!$A13="","",Partner!$R13)</f>
        <v/>
      </c>
      <c r="E29" s="14" t="str">
        <f aca="false">IF(Partner!$A13="","",Partner!$U13)</f>
        <v/>
      </c>
      <c r="F29" s="14" t="str">
        <f aca="false">IF(Partner!$A13="","",Partner!$S13)</f>
        <v/>
      </c>
      <c r="G29" s="14" t="str">
        <f aca="false">IF(Partner!$A13="","",Partner!$V13)</f>
        <v/>
      </c>
    </row>
    <row r="30" customFormat="false" ht="15" hidden="false" customHeight="false" outlineLevel="0" collapsed="false">
      <c r="A30" s="14" t="str">
        <f aca="false">IF(Partner!$A14="","",10)</f>
        <v/>
      </c>
      <c r="B30" s="15" t="str">
        <f aca="false">IF(Partner!$A14="","",Partner!$A14)</f>
        <v/>
      </c>
      <c r="C30" s="15" t="str">
        <f aca="false">IF(Partner!$A14="","",Partner!$O14)</f>
        <v/>
      </c>
      <c r="D30" s="16" t="str">
        <f aca="false">IF(Partner!$A14="","",Partner!$R14)</f>
        <v/>
      </c>
      <c r="E30" s="14" t="str">
        <f aca="false">IF(Partner!$A14="","",Partner!$U14)</f>
        <v/>
      </c>
      <c r="F30" s="14" t="str">
        <f aca="false">IF(Partner!$A14="","",Partner!$S14)</f>
        <v/>
      </c>
      <c r="G30" s="14" t="str">
        <f aca="false">IF(Partner!$A14="","",Partner!$V14)</f>
        <v/>
      </c>
    </row>
    <row r="31" customFormat="false" ht="15" hidden="false" customHeight="false" outlineLevel="0" collapsed="false">
      <c r="A31" s="14" t="str">
        <f aca="false">IF(Partner!$A15="","",11)</f>
        <v/>
      </c>
      <c r="B31" s="15" t="str">
        <f aca="false">IF(Partner!$A15="","",Partner!$A15)</f>
        <v/>
      </c>
      <c r="C31" s="15" t="str">
        <f aca="false">IF(Partner!$A15="","",Partner!$O15)</f>
        <v/>
      </c>
      <c r="D31" s="16" t="str">
        <f aca="false">IF(Partner!$A15="","",Partner!$R15)</f>
        <v/>
      </c>
      <c r="E31" s="14" t="str">
        <f aca="false">IF(Partner!$A15="","",Partner!$U15)</f>
        <v/>
      </c>
      <c r="F31" s="14" t="str">
        <f aca="false">IF(Partner!$A15="","",Partner!$S15)</f>
        <v/>
      </c>
      <c r="G31" s="14" t="str">
        <f aca="false">IF(Partner!$A15="","",Partner!$V15)</f>
        <v/>
      </c>
    </row>
    <row r="32" customFormat="false" ht="15" hidden="false" customHeight="false" outlineLevel="0" collapsed="false">
      <c r="A32" s="14" t="str">
        <f aca="false">IF(Partner!$A16="","",12)</f>
        <v/>
      </c>
      <c r="B32" s="15" t="str">
        <f aca="false">IF(Partner!$A16="","",Partner!$A16)</f>
        <v/>
      </c>
      <c r="C32" s="15" t="str">
        <f aca="false">IF(Partner!$A16="","",Partner!$O16)</f>
        <v/>
      </c>
      <c r="D32" s="16" t="str">
        <f aca="false">IF(Partner!$A16="","",Partner!$R16)</f>
        <v/>
      </c>
      <c r="E32" s="14" t="str">
        <f aca="false">IF(Partner!$A16="","",Partner!$U16)</f>
        <v/>
      </c>
      <c r="F32" s="14" t="str">
        <f aca="false">IF(Partner!$A16="","",Partner!$S16)</f>
        <v/>
      </c>
      <c r="G32" s="14" t="str">
        <f aca="false">IF(Partner!$A16="","",Partner!$V16)</f>
        <v/>
      </c>
    </row>
    <row r="33" customFormat="false" ht="15" hidden="false" customHeight="false" outlineLevel="0" collapsed="false">
      <c r="A33" s="14" t="str">
        <f aca="false">IF(Partner!$A17="","",13)</f>
        <v/>
      </c>
      <c r="B33" s="15" t="str">
        <f aca="false">IF(Partner!$A17="","",Partner!$A17)</f>
        <v/>
      </c>
      <c r="C33" s="15" t="str">
        <f aca="false">IF(Partner!$A17="","",Partner!$O17)</f>
        <v/>
      </c>
      <c r="D33" s="16" t="str">
        <f aca="false">IF(Partner!$A17="","",Partner!$R17)</f>
        <v/>
      </c>
      <c r="E33" s="14" t="str">
        <f aca="false">IF(Partner!$A17="","",Partner!$U17)</f>
        <v/>
      </c>
      <c r="F33" s="14" t="str">
        <f aca="false">IF(Partner!$A17="","",Partner!$S17)</f>
        <v/>
      </c>
      <c r="G33" s="14" t="str">
        <f aca="false">IF(Partner!$A17="","",Partner!$V17)</f>
        <v/>
      </c>
    </row>
    <row r="34" customFormat="false" ht="15" hidden="false" customHeight="false" outlineLevel="0" collapsed="false">
      <c r="A34" s="14" t="str">
        <f aca="false">IF(Partner!$A18="","",14)</f>
        <v/>
      </c>
      <c r="B34" s="15" t="str">
        <f aca="false">IF(Partner!$A18="","",Partner!$A18)</f>
        <v/>
      </c>
      <c r="C34" s="15" t="str">
        <f aca="false">IF(Partner!$A18="","",Partner!$O18)</f>
        <v/>
      </c>
      <c r="D34" s="16" t="str">
        <f aca="false">IF(Partner!$A18="","",Partner!$R18)</f>
        <v/>
      </c>
      <c r="E34" s="14" t="str">
        <f aca="false">IF(Partner!$A18="","",Partner!$U18)</f>
        <v/>
      </c>
      <c r="F34" s="14" t="str">
        <f aca="false">IF(Partner!$A18="","",Partner!$S18)</f>
        <v/>
      </c>
      <c r="G34" s="14" t="str">
        <f aca="false">IF(Partner!$A18="","",Partner!$V18)</f>
        <v/>
      </c>
    </row>
    <row r="35" customFormat="false" ht="15" hidden="false" customHeight="false" outlineLevel="0" collapsed="false">
      <c r="A35" s="14" t="str">
        <f aca="false">IF(Partner!$A19="","",15)</f>
        <v/>
      </c>
      <c r="B35" s="15" t="str">
        <f aca="false">IF(Partner!$A19="","",Partner!$A19)</f>
        <v/>
      </c>
      <c r="C35" s="15" t="str">
        <f aca="false">IF(Partner!$A19="","",Partner!$O19)</f>
        <v/>
      </c>
      <c r="D35" s="16" t="str">
        <f aca="false">IF(Partner!$A19="","",Partner!$R19)</f>
        <v/>
      </c>
      <c r="E35" s="14" t="str">
        <f aca="false">IF(Partner!$A19="","",Partner!$U19)</f>
        <v/>
      </c>
      <c r="F35" s="14" t="str">
        <f aca="false">IF(Partner!$A19="","",Partner!$S19)</f>
        <v/>
      </c>
      <c r="G35" s="14" t="str">
        <f aca="false">IF(Partner!$A19="","",Partner!$V19)</f>
        <v/>
      </c>
    </row>
    <row r="36" customFormat="false" ht="15" hidden="false" customHeight="false" outlineLevel="0" collapsed="false">
      <c r="A36" s="2" t="s">
        <v>56</v>
      </c>
    </row>
  </sheetData>
  <conditionalFormatting sqref="E21:E35">
    <cfRule type="cellIs" priority="2" operator="equal" aboveAverage="0" equalAverage="0" bottom="0" percent="0" rank="0" text="" dxfId="0">
      <formula>"Hoàn tất"</formula>
    </cfRule>
    <cfRule type="cellIs" priority="3" operator="equal" aboveAverage="0" equalAverage="0" bottom="0" percent="0" rank="0" text="" dxfId="1">
      <formula>"Đúng tiến độ"</formula>
    </cfRule>
    <cfRule type="cellIs" priority="4" operator="equal" aboveAverage="0" equalAverage="0" bottom="0" percent="0" rank="0" text="" dxfId="2">
      <formula>"Có việc trễ"</formula>
    </cfRule>
    <cfRule type="cellIs" priority="5" operator="equal" aboveAverage="0" equalAverage="0" bottom="0" percent="0" rank="0" text="" dxfId="3">
      <formula>"Bị chặn"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13" min="6" style="0" width="8"/>
    <col collapsed="false" customWidth="true" hidden="false" outlineLevel="0" max="14" min="14" style="0" width="10"/>
    <col collapsed="false" customWidth="true" hidden="false" outlineLevel="0" max="15" min="15" style="0" width="24"/>
    <col collapsed="false" customWidth="true" hidden="false" outlineLevel="0" max="17" min="16" style="0" width="9"/>
    <col collapsed="false" customWidth="true" hidden="false" outlineLevel="0" max="18" min="18" style="0" width="10"/>
    <col collapsed="false" customWidth="true" hidden="false" outlineLevel="0" max="19" min="19" style="0" width="9"/>
    <col collapsed="false" customWidth="true" hidden="false" outlineLevel="0" max="20" min="20" style="0" width="10"/>
    <col collapsed="false" customWidth="true" hidden="false" outlineLevel="0" max="21" min="21" style="0" width="16"/>
    <col collapsed="false" customWidth="true" hidden="false" outlineLevel="0" max="22" min="22" style="0" width="22"/>
  </cols>
  <sheetData>
    <row r="1" customFormat="false" ht="17.35" hidden="false" customHeight="false" outlineLevel="0" collapsed="false">
      <c r="A1" s="1" t="s">
        <v>57</v>
      </c>
    </row>
    <row r="2" customFormat="false" ht="15" hidden="false" customHeight="false" outlineLevel="0" collapsed="false">
      <c r="A2" s="2" t="s">
        <v>58</v>
      </c>
    </row>
    <row r="3" customFormat="false" ht="15" hidden="false" customHeight="false" outlineLevel="0" collapsed="false">
      <c r="E3" s="17" t="s">
        <v>59</v>
      </c>
      <c r="F3" s="18" t="n">
        <v>1</v>
      </c>
      <c r="G3" s="18" t="n">
        <v>2</v>
      </c>
      <c r="H3" s="18" t="n">
        <v>3</v>
      </c>
      <c r="I3" s="18" t="n">
        <v>4</v>
      </c>
      <c r="J3" s="18" t="n">
        <v>5</v>
      </c>
      <c r="K3" s="18" t="n">
        <v>6</v>
      </c>
      <c r="L3" s="18" t="n">
        <v>7</v>
      </c>
      <c r="M3" s="18" t="n">
        <v>8</v>
      </c>
    </row>
    <row r="4" customFormat="false" ht="35.05" hidden="false" customHeight="false" outlineLevel="0" collapsed="false">
      <c r="A4" s="13" t="s">
        <v>50</v>
      </c>
      <c r="B4" s="13" t="s">
        <v>60</v>
      </c>
      <c r="C4" s="13" t="s">
        <v>61</v>
      </c>
      <c r="D4" s="13" t="s">
        <v>62</v>
      </c>
      <c r="E4" s="13" t="s">
        <v>63</v>
      </c>
      <c r="F4" s="13" t="s">
        <v>64</v>
      </c>
      <c r="G4" s="13" t="s">
        <v>65</v>
      </c>
      <c r="H4" s="13" t="s">
        <v>66</v>
      </c>
      <c r="I4" s="13" t="s">
        <v>67</v>
      </c>
      <c r="J4" s="13" t="s">
        <v>68</v>
      </c>
      <c r="K4" s="13" t="s">
        <v>69</v>
      </c>
      <c r="L4" s="13" t="s">
        <v>70</v>
      </c>
      <c r="M4" s="13" t="s">
        <v>71</v>
      </c>
      <c r="N4" s="13" t="s">
        <v>72</v>
      </c>
      <c r="O4" s="13" t="s">
        <v>51</v>
      </c>
      <c r="P4" s="13" t="s">
        <v>35</v>
      </c>
      <c r="Q4" s="13" t="s">
        <v>73</v>
      </c>
      <c r="R4" s="13" t="s">
        <v>52</v>
      </c>
      <c r="S4" s="13" t="s">
        <v>54</v>
      </c>
      <c r="T4" s="13" t="s">
        <v>38</v>
      </c>
      <c r="U4" s="13" t="s">
        <v>53</v>
      </c>
      <c r="V4" s="13" t="s">
        <v>55</v>
      </c>
    </row>
    <row r="5" customFormat="false" ht="15" hidden="false" customHeight="false" outlineLevel="0" collapsed="false">
      <c r="A5" s="19" t="s">
        <v>74</v>
      </c>
      <c r="B5" s="19" t="s">
        <v>75</v>
      </c>
      <c r="C5" s="19" t="s">
        <v>76</v>
      </c>
      <c r="D5" s="19" t="s">
        <v>77</v>
      </c>
      <c r="E5" s="20" t="n">
        <v>46251</v>
      </c>
      <c r="F5" s="14" t="str">
        <f aca="false">IF($A5="","",IF((COUNTIFS(Task!$A$5:$A$404,$A5,Task!$C$5:$C$404,F$3)-COUNTIFS(Task!$A$5:$A$404,$A5,Task!$C$5:$C$404,F$3,Task!$K$5:$K$404,"Không áp dụng"))=0,"–",IF(COUNTIFS(Task!$A$5:$A$404,$A5,Task!$C$5:$C$404,F$3,Task!$K$5:$K$404,"Hoàn thành")=(COUNTIFS(Task!$A$5:$A$404,$A5,Task!$C$5:$C$404,F$3)-COUNTIFS(Task!$A$5:$A$404,$A5,Task!$C$5:$C$404,F$3,Task!$K$5:$K$404,"Không áp dụng")),"Xong",IF(COUNTIFS(Task!$A$5:$A$404,$A5,Task!$C$5:$C$404,F$3,Task!$K$5:$K$404,"Bị chặn")&gt;0,"Bị chặn",IF(COUNTIFS(Task!$A$5:$A$404,$A5,Task!$C$5:$C$404,F$3,Task!$K$5:$K$404,"Hoàn thành")+COUNTIFS(Task!$A$5:$A$404,$A5,Task!$C$5:$C$404,F$3,Task!$K$5:$K$404,"Đang làm")&gt;0,"Đang làm","Chưa")))))</f>
        <v>Xong</v>
      </c>
      <c r="G5" s="14" t="str">
        <f aca="false">IF($A5="","",IF((COUNTIFS(Task!$A$5:$A$404,$A5,Task!$C$5:$C$404,G$3)-COUNTIFS(Task!$A$5:$A$404,$A5,Task!$C$5:$C$404,G$3,Task!$K$5:$K$404,"Không áp dụng"))=0,"–",IF(COUNTIFS(Task!$A$5:$A$404,$A5,Task!$C$5:$C$404,G$3,Task!$K$5:$K$404,"Hoàn thành")=(COUNTIFS(Task!$A$5:$A$404,$A5,Task!$C$5:$C$404,G$3)-COUNTIFS(Task!$A$5:$A$404,$A5,Task!$C$5:$C$404,G$3,Task!$K$5:$K$404,"Không áp dụng")),"Xong",IF(COUNTIFS(Task!$A$5:$A$404,$A5,Task!$C$5:$C$404,G$3,Task!$K$5:$K$404,"Bị chặn")&gt;0,"Bị chặn",IF(COUNTIFS(Task!$A$5:$A$404,$A5,Task!$C$5:$C$404,G$3,Task!$K$5:$K$404,"Hoàn thành")+COUNTIFS(Task!$A$5:$A$404,$A5,Task!$C$5:$C$404,G$3,Task!$K$5:$K$404,"Đang làm")&gt;0,"Đang làm","Chưa")))))</f>
        <v>Xong</v>
      </c>
      <c r="H5" s="14" t="str">
        <f aca="false">IF($A5="","",IF((COUNTIFS(Task!$A$5:$A$404,$A5,Task!$C$5:$C$404,H$3)-COUNTIFS(Task!$A$5:$A$404,$A5,Task!$C$5:$C$404,H$3,Task!$K$5:$K$404,"Không áp dụng"))=0,"–",IF(COUNTIFS(Task!$A$5:$A$404,$A5,Task!$C$5:$C$404,H$3,Task!$K$5:$K$404,"Hoàn thành")=(COUNTIFS(Task!$A$5:$A$404,$A5,Task!$C$5:$C$404,H$3)-COUNTIFS(Task!$A$5:$A$404,$A5,Task!$C$5:$C$404,H$3,Task!$K$5:$K$404,"Không áp dụng")),"Xong",IF(COUNTIFS(Task!$A$5:$A$404,$A5,Task!$C$5:$C$404,H$3,Task!$K$5:$K$404,"Bị chặn")&gt;0,"Bị chặn",IF(COUNTIFS(Task!$A$5:$A$404,$A5,Task!$C$5:$C$404,H$3,Task!$K$5:$K$404,"Hoàn thành")+COUNTIFS(Task!$A$5:$A$404,$A5,Task!$C$5:$C$404,H$3,Task!$K$5:$K$404,"Đang làm")&gt;0,"Đang làm","Chưa")))))</f>
        <v>Xong</v>
      </c>
      <c r="I5" s="14" t="str">
        <f aca="false">IF($A5="","",IF((COUNTIFS(Task!$A$5:$A$404,$A5,Task!$C$5:$C$404,I$3)-COUNTIFS(Task!$A$5:$A$404,$A5,Task!$C$5:$C$404,I$3,Task!$K$5:$K$404,"Không áp dụng"))=0,"–",IF(COUNTIFS(Task!$A$5:$A$404,$A5,Task!$C$5:$C$404,I$3,Task!$K$5:$K$404,"Hoàn thành")=(COUNTIFS(Task!$A$5:$A$404,$A5,Task!$C$5:$C$404,I$3)-COUNTIFS(Task!$A$5:$A$404,$A5,Task!$C$5:$C$404,I$3,Task!$K$5:$K$404,"Không áp dụng")),"Xong",IF(COUNTIFS(Task!$A$5:$A$404,$A5,Task!$C$5:$C$404,I$3,Task!$K$5:$K$404,"Bị chặn")&gt;0,"Bị chặn",IF(COUNTIFS(Task!$A$5:$A$404,$A5,Task!$C$5:$C$404,I$3,Task!$K$5:$K$404,"Hoàn thành")+COUNTIFS(Task!$A$5:$A$404,$A5,Task!$C$5:$C$404,I$3,Task!$K$5:$K$404,"Đang làm")&gt;0,"Đang làm","Chưa")))))</f>
        <v>Đang làm</v>
      </c>
      <c r="J5" s="14" t="str">
        <f aca="false">IF($A5="","",IF((COUNTIFS(Task!$A$5:$A$404,$A5,Task!$C$5:$C$404,J$3)-COUNTIFS(Task!$A$5:$A$404,$A5,Task!$C$5:$C$404,J$3,Task!$K$5:$K$404,"Không áp dụng"))=0,"–",IF(COUNTIFS(Task!$A$5:$A$404,$A5,Task!$C$5:$C$404,J$3,Task!$K$5:$K$404,"Hoàn thành")=(COUNTIFS(Task!$A$5:$A$404,$A5,Task!$C$5:$C$404,J$3)-COUNTIFS(Task!$A$5:$A$404,$A5,Task!$C$5:$C$404,J$3,Task!$K$5:$K$404,"Không áp dụng")),"Xong",IF(COUNTIFS(Task!$A$5:$A$404,$A5,Task!$C$5:$C$404,J$3,Task!$K$5:$K$404,"Bị chặn")&gt;0,"Bị chặn",IF(COUNTIFS(Task!$A$5:$A$404,$A5,Task!$C$5:$C$404,J$3,Task!$K$5:$K$404,"Hoàn thành")+COUNTIFS(Task!$A$5:$A$404,$A5,Task!$C$5:$C$404,J$3,Task!$K$5:$K$404,"Đang làm")&gt;0,"Đang làm","Chưa")))))</f>
        <v>Chưa</v>
      </c>
      <c r="K5" s="14" t="str">
        <f aca="false">IF($A5="","",IF((COUNTIFS(Task!$A$5:$A$404,$A5,Task!$C$5:$C$404,K$3)-COUNTIFS(Task!$A$5:$A$404,$A5,Task!$C$5:$C$404,K$3,Task!$K$5:$K$404,"Không áp dụng"))=0,"–",IF(COUNTIFS(Task!$A$5:$A$404,$A5,Task!$C$5:$C$404,K$3,Task!$K$5:$K$404,"Hoàn thành")=(COUNTIFS(Task!$A$5:$A$404,$A5,Task!$C$5:$C$404,K$3)-COUNTIFS(Task!$A$5:$A$404,$A5,Task!$C$5:$C$404,K$3,Task!$K$5:$K$404,"Không áp dụng")),"Xong",IF(COUNTIFS(Task!$A$5:$A$404,$A5,Task!$C$5:$C$404,K$3,Task!$K$5:$K$404,"Bị chặn")&gt;0,"Bị chặn",IF(COUNTIFS(Task!$A$5:$A$404,$A5,Task!$C$5:$C$404,K$3,Task!$K$5:$K$404,"Hoàn thành")+COUNTIFS(Task!$A$5:$A$404,$A5,Task!$C$5:$C$404,K$3,Task!$K$5:$K$404,"Đang làm")&gt;0,"Đang làm","Chưa")))))</f>
        <v>Chưa</v>
      </c>
      <c r="L5" s="14" t="str">
        <f aca="false">IF($A5="","",IF((COUNTIFS(Task!$A$5:$A$404,$A5,Task!$C$5:$C$404,L$3)-COUNTIFS(Task!$A$5:$A$404,$A5,Task!$C$5:$C$404,L$3,Task!$K$5:$K$404,"Không áp dụng"))=0,"–",IF(COUNTIFS(Task!$A$5:$A$404,$A5,Task!$C$5:$C$404,L$3,Task!$K$5:$K$404,"Hoàn thành")=(COUNTIFS(Task!$A$5:$A$404,$A5,Task!$C$5:$C$404,L$3)-COUNTIFS(Task!$A$5:$A$404,$A5,Task!$C$5:$C$404,L$3,Task!$K$5:$K$404,"Không áp dụng")),"Xong",IF(COUNTIFS(Task!$A$5:$A$404,$A5,Task!$C$5:$C$404,L$3,Task!$K$5:$K$404,"Bị chặn")&gt;0,"Bị chặn",IF(COUNTIFS(Task!$A$5:$A$404,$A5,Task!$C$5:$C$404,L$3,Task!$K$5:$K$404,"Hoàn thành")+COUNTIFS(Task!$A$5:$A$404,$A5,Task!$C$5:$C$404,L$3,Task!$K$5:$K$404,"Đang làm")&gt;0,"Đang làm","Chưa")))))</f>
        <v>Chưa</v>
      </c>
      <c r="M5" s="14" t="str">
        <f aca="false">IF($A5="","",IF((COUNTIFS(Task!$A$5:$A$404,$A5,Task!$C$5:$C$404,M$3)-COUNTIFS(Task!$A$5:$A$404,$A5,Task!$C$5:$C$404,M$3,Task!$K$5:$K$404,"Không áp dụng"))=0,"–",IF(COUNTIFS(Task!$A$5:$A$404,$A5,Task!$C$5:$C$404,M$3,Task!$K$5:$K$404,"Hoàn thành")=(COUNTIFS(Task!$A$5:$A$404,$A5,Task!$C$5:$C$404,M$3)-COUNTIFS(Task!$A$5:$A$404,$A5,Task!$C$5:$C$404,M$3,Task!$K$5:$K$404,"Không áp dụng")),"Xong",IF(COUNTIFS(Task!$A$5:$A$404,$A5,Task!$C$5:$C$404,M$3,Task!$K$5:$K$404,"Bị chặn")&gt;0,"Bị chặn",IF(COUNTIFS(Task!$A$5:$A$404,$A5,Task!$C$5:$C$404,M$3,Task!$K$5:$K$404,"Hoàn thành")+COUNTIFS(Task!$A$5:$A$404,$A5,Task!$C$5:$C$404,M$3,Task!$K$5:$K$404,"Đang làm")&gt;0,"Đang làm","Chưa")))))</f>
        <v>Chưa</v>
      </c>
      <c r="N5" s="14" t="n">
        <f aca="false">IF($A5="","",IF(F5&lt;&gt;"Xong",1,IF(G5&lt;&gt;"Xong",2,IF(H5&lt;&gt;"Xong",3,IF(I5&lt;&gt;"Xong",4,IF(J5&lt;&gt;"Xong",5,IF(K5&lt;&gt;"Xong",6,IF(L5&lt;&gt;"Xong",7,IF(M5&lt;&gt;"Xong",8,9)))))))))</f>
        <v>4</v>
      </c>
      <c r="O5" s="14" t="str">
        <f aca="false">IF($A5="","",IF($N5=9,"Hoàn tất",INDEX('Quy trình'!$B$5:$B$12,$N5)))</f>
        <v>Hồ sơ của partner (A)</v>
      </c>
      <c r="P5" s="14" t="n">
        <f aca="false">IF($A5="","",COUNTIFS(Task!$A$5:$A$404,$A5)-COUNTIFS(Task!$A$5:$A$404,$A5,Task!$K$5:$K$404,"Không áp dụng"))</f>
        <v>34</v>
      </c>
      <c r="Q5" s="14" t="n">
        <f aca="false">IF($A5="","",COUNTIFS(Task!$A$5:$A$404,$A5,Task!$K$5:$K$404,"Hoàn thành"))</f>
        <v>13</v>
      </c>
      <c r="R5" s="16" t="n">
        <f aca="false">IF($A5="","",Q5/MAX(P5,COUNTA('Mẫu task'!$A$5:$A$64)))</f>
        <v>0.382352941176471</v>
      </c>
      <c r="S5" s="14" t="n">
        <f aca="false">IF($A5="","",SUMIFS(Task!$O$5:$O$404,Task!$A$5:$A$404,$A5))</f>
        <v>1</v>
      </c>
      <c r="T5" s="14" t="n">
        <f aca="false">IF($A5="","",COUNTIFS(Task!$A$5:$A$404,$A5,Task!$K$5:$K$404,"Bị chặn"))</f>
        <v>0</v>
      </c>
      <c r="U5" s="14" t="str">
        <f aca="false">IF($A5="","",IF(P5=0,"Chưa có task",IF(T5&gt;0,"Bị chặn",IF(S5&gt;0,"Có việc trễ",IF(N5=9,"Hoàn tất","Đúng tiến độ")))))</f>
        <v>Có việc trễ</v>
      </c>
      <c r="V5" s="14" t="str">
        <f aca="false">IF($A5="","",IFERROR(INDEX('Chấm điểm'!$D$16:$M$16,MATCH($A5,'Chấm điểm'!$D$4:$M$4,0)),""))</f>
        <v>OK – đạt</v>
      </c>
    </row>
    <row r="6" customFormat="false" ht="15" hidden="false" customHeight="false" outlineLevel="0" collapsed="false">
      <c r="A6" s="19" t="s">
        <v>78</v>
      </c>
      <c r="B6" s="19" t="s">
        <v>79</v>
      </c>
      <c r="C6" s="19" t="s">
        <v>80</v>
      </c>
      <c r="D6" s="19" t="s">
        <v>77</v>
      </c>
      <c r="E6" s="20" t="n">
        <v>46279</v>
      </c>
      <c r="F6" s="14" t="str">
        <f aca="false">IF($A6="","",IF((COUNTIFS(Task!$A$5:$A$404,$A6,Task!$C$5:$C$404,F$3)-COUNTIFS(Task!$A$5:$A$404,$A6,Task!$C$5:$C$404,F$3,Task!$K$5:$K$404,"Không áp dụng"))=0,"–",IF(COUNTIFS(Task!$A$5:$A$404,$A6,Task!$C$5:$C$404,F$3,Task!$K$5:$K$404,"Hoàn thành")=(COUNTIFS(Task!$A$5:$A$404,$A6,Task!$C$5:$C$404,F$3)-COUNTIFS(Task!$A$5:$A$404,$A6,Task!$C$5:$C$404,F$3,Task!$K$5:$K$404,"Không áp dụng")),"Xong",IF(COUNTIFS(Task!$A$5:$A$404,$A6,Task!$C$5:$C$404,F$3,Task!$K$5:$K$404,"Bị chặn")&gt;0,"Bị chặn",IF(COUNTIFS(Task!$A$5:$A$404,$A6,Task!$C$5:$C$404,F$3,Task!$K$5:$K$404,"Hoàn thành")+COUNTIFS(Task!$A$5:$A$404,$A6,Task!$C$5:$C$404,F$3,Task!$K$5:$K$404,"Đang làm")&gt;0,"Đang làm","Chưa")))))</f>
        <v>Xong</v>
      </c>
      <c r="G6" s="14" t="str">
        <f aca="false">IF($A6="","",IF((COUNTIFS(Task!$A$5:$A$404,$A6,Task!$C$5:$C$404,G$3)-COUNTIFS(Task!$A$5:$A$404,$A6,Task!$C$5:$C$404,G$3,Task!$K$5:$K$404,"Không áp dụng"))=0,"–",IF(COUNTIFS(Task!$A$5:$A$404,$A6,Task!$C$5:$C$404,G$3,Task!$K$5:$K$404,"Hoàn thành")=(COUNTIFS(Task!$A$5:$A$404,$A6,Task!$C$5:$C$404,G$3)-COUNTIFS(Task!$A$5:$A$404,$A6,Task!$C$5:$C$404,G$3,Task!$K$5:$K$404,"Không áp dụng")),"Xong",IF(COUNTIFS(Task!$A$5:$A$404,$A6,Task!$C$5:$C$404,G$3,Task!$K$5:$K$404,"Bị chặn")&gt;0,"Bị chặn",IF(COUNTIFS(Task!$A$5:$A$404,$A6,Task!$C$5:$C$404,G$3,Task!$K$5:$K$404,"Hoàn thành")+COUNTIFS(Task!$A$5:$A$404,$A6,Task!$C$5:$C$404,G$3,Task!$K$5:$K$404,"Đang làm")&gt;0,"Đang làm","Chưa")))))</f>
        <v>Bị chặn</v>
      </c>
      <c r="H6" s="14" t="str">
        <f aca="false">IF($A6="","",IF((COUNTIFS(Task!$A$5:$A$404,$A6,Task!$C$5:$C$404,H$3)-COUNTIFS(Task!$A$5:$A$404,$A6,Task!$C$5:$C$404,H$3,Task!$K$5:$K$404,"Không áp dụng"))=0,"–",IF(COUNTIFS(Task!$A$5:$A$404,$A6,Task!$C$5:$C$404,H$3,Task!$K$5:$K$404,"Hoàn thành")=(COUNTIFS(Task!$A$5:$A$404,$A6,Task!$C$5:$C$404,H$3)-COUNTIFS(Task!$A$5:$A$404,$A6,Task!$C$5:$C$404,H$3,Task!$K$5:$K$404,"Không áp dụng")),"Xong",IF(COUNTIFS(Task!$A$5:$A$404,$A6,Task!$C$5:$C$404,H$3,Task!$K$5:$K$404,"Bị chặn")&gt;0,"Bị chặn",IF(COUNTIFS(Task!$A$5:$A$404,$A6,Task!$C$5:$C$404,H$3,Task!$K$5:$K$404,"Hoàn thành")+COUNTIFS(Task!$A$5:$A$404,$A6,Task!$C$5:$C$404,H$3,Task!$K$5:$K$404,"Đang làm")&gt;0,"Đang làm","Chưa")))))</f>
        <v>–</v>
      </c>
      <c r="I6" s="14" t="str">
        <f aca="false">IF($A6="","",IF((COUNTIFS(Task!$A$5:$A$404,$A6,Task!$C$5:$C$404,I$3)-COUNTIFS(Task!$A$5:$A$404,$A6,Task!$C$5:$C$404,I$3,Task!$K$5:$K$404,"Không áp dụng"))=0,"–",IF(COUNTIFS(Task!$A$5:$A$404,$A6,Task!$C$5:$C$404,I$3,Task!$K$5:$K$404,"Hoàn thành")=(COUNTIFS(Task!$A$5:$A$404,$A6,Task!$C$5:$C$404,I$3)-COUNTIFS(Task!$A$5:$A$404,$A6,Task!$C$5:$C$404,I$3,Task!$K$5:$K$404,"Không áp dụng")),"Xong",IF(COUNTIFS(Task!$A$5:$A$404,$A6,Task!$C$5:$C$404,I$3,Task!$K$5:$K$404,"Bị chặn")&gt;0,"Bị chặn",IF(COUNTIFS(Task!$A$5:$A$404,$A6,Task!$C$5:$C$404,I$3,Task!$K$5:$K$404,"Hoàn thành")+COUNTIFS(Task!$A$5:$A$404,$A6,Task!$C$5:$C$404,I$3,Task!$K$5:$K$404,"Đang làm")&gt;0,"Đang làm","Chưa")))))</f>
        <v>–</v>
      </c>
      <c r="J6" s="14" t="str">
        <f aca="false">IF($A6="","",IF((COUNTIFS(Task!$A$5:$A$404,$A6,Task!$C$5:$C$404,J$3)-COUNTIFS(Task!$A$5:$A$404,$A6,Task!$C$5:$C$404,J$3,Task!$K$5:$K$404,"Không áp dụng"))=0,"–",IF(COUNTIFS(Task!$A$5:$A$404,$A6,Task!$C$5:$C$404,J$3,Task!$K$5:$K$404,"Hoàn thành")=(COUNTIFS(Task!$A$5:$A$404,$A6,Task!$C$5:$C$404,J$3)-COUNTIFS(Task!$A$5:$A$404,$A6,Task!$C$5:$C$404,J$3,Task!$K$5:$K$404,"Không áp dụng")),"Xong",IF(COUNTIFS(Task!$A$5:$A$404,$A6,Task!$C$5:$C$404,J$3,Task!$K$5:$K$404,"Bị chặn")&gt;0,"Bị chặn",IF(COUNTIFS(Task!$A$5:$A$404,$A6,Task!$C$5:$C$404,J$3,Task!$K$5:$K$404,"Hoàn thành")+COUNTIFS(Task!$A$5:$A$404,$A6,Task!$C$5:$C$404,J$3,Task!$K$5:$K$404,"Đang làm")&gt;0,"Đang làm","Chưa")))))</f>
        <v>–</v>
      </c>
      <c r="K6" s="14" t="str">
        <f aca="false">IF($A6="","",IF((COUNTIFS(Task!$A$5:$A$404,$A6,Task!$C$5:$C$404,K$3)-COUNTIFS(Task!$A$5:$A$404,$A6,Task!$C$5:$C$404,K$3,Task!$K$5:$K$404,"Không áp dụng"))=0,"–",IF(COUNTIFS(Task!$A$5:$A$404,$A6,Task!$C$5:$C$404,K$3,Task!$K$5:$K$404,"Hoàn thành")=(COUNTIFS(Task!$A$5:$A$404,$A6,Task!$C$5:$C$404,K$3)-COUNTIFS(Task!$A$5:$A$404,$A6,Task!$C$5:$C$404,K$3,Task!$K$5:$K$404,"Không áp dụng")),"Xong",IF(COUNTIFS(Task!$A$5:$A$404,$A6,Task!$C$5:$C$404,K$3,Task!$K$5:$K$404,"Bị chặn")&gt;0,"Bị chặn",IF(COUNTIFS(Task!$A$5:$A$404,$A6,Task!$C$5:$C$404,K$3,Task!$K$5:$K$404,"Hoàn thành")+COUNTIFS(Task!$A$5:$A$404,$A6,Task!$C$5:$C$404,K$3,Task!$K$5:$K$404,"Đang làm")&gt;0,"Đang làm","Chưa")))))</f>
        <v>–</v>
      </c>
      <c r="L6" s="14" t="str">
        <f aca="false">IF($A6="","",IF((COUNTIFS(Task!$A$5:$A$404,$A6,Task!$C$5:$C$404,L$3)-COUNTIFS(Task!$A$5:$A$404,$A6,Task!$C$5:$C$404,L$3,Task!$K$5:$K$404,"Không áp dụng"))=0,"–",IF(COUNTIFS(Task!$A$5:$A$404,$A6,Task!$C$5:$C$404,L$3,Task!$K$5:$K$404,"Hoàn thành")=(COUNTIFS(Task!$A$5:$A$404,$A6,Task!$C$5:$C$404,L$3)-COUNTIFS(Task!$A$5:$A$404,$A6,Task!$C$5:$C$404,L$3,Task!$K$5:$K$404,"Không áp dụng")),"Xong",IF(COUNTIFS(Task!$A$5:$A$404,$A6,Task!$C$5:$C$404,L$3,Task!$K$5:$K$404,"Bị chặn")&gt;0,"Bị chặn",IF(COUNTIFS(Task!$A$5:$A$404,$A6,Task!$C$5:$C$404,L$3,Task!$K$5:$K$404,"Hoàn thành")+COUNTIFS(Task!$A$5:$A$404,$A6,Task!$C$5:$C$404,L$3,Task!$K$5:$K$404,"Đang làm")&gt;0,"Đang làm","Chưa")))))</f>
        <v>–</v>
      </c>
      <c r="M6" s="14" t="str">
        <f aca="false">IF($A6="","",IF((COUNTIFS(Task!$A$5:$A$404,$A6,Task!$C$5:$C$404,M$3)-COUNTIFS(Task!$A$5:$A$404,$A6,Task!$C$5:$C$404,M$3,Task!$K$5:$K$404,"Không áp dụng"))=0,"–",IF(COUNTIFS(Task!$A$5:$A$404,$A6,Task!$C$5:$C$404,M$3,Task!$K$5:$K$404,"Hoàn thành")=(COUNTIFS(Task!$A$5:$A$404,$A6,Task!$C$5:$C$404,M$3)-COUNTIFS(Task!$A$5:$A$404,$A6,Task!$C$5:$C$404,M$3,Task!$K$5:$K$404,"Không áp dụng")),"Xong",IF(COUNTIFS(Task!$A$5:$A$404,$A6,Task!$C$5:$C$404,M$3,Task!$K$5:$K$404,"Bị chặn")&gt;0,"Bị chặn",IF(COUNTIFS(Task!$A$5:$A$404,$A6,Task!$C$5:$C$404,M$3,Task!$K$5:$K$404,"Hoàn thành")+COUNTIFS(Task!$A$5:$A$404,$A6,Task!$C$5:$C$404,M$3,Task!$K$5:$K$404,"Đang làm")&gt;0,"Đang làm","Chưa")))))</f>
        <v>–</v>
      </c>
      <c r="N6" s="14" t="n">
        <f aca="false">IF($A6="","",IF(F6&lt;&gt;"Xong",1,IF(G6&lt;&gt;"Xong",2,IF(H6&lt;&gt;"Xong",3,IF(I6&lt;&gt;"Xong",4,IF(J6&lt;&gt;"Xong",5,IF(K6&lt;&gt;"Xong",6,IF(L6&lt;&gt;"Xong",7,IF(M6&lt;&gt;"Xong",8,9)))))))))</f>
        <v>2</v>
      </c>
      <c r="O6" s="14" t="str">
        <f aca="false">IF($A6="","",IF($N6=9,"Hoàn tất",INDEX('Quy trình'!$B$5:$B$12,$N6)))</f>
        <v>Approach</v>
      </c>
      <c r="P6" s="14" t="n">
        <f aca="false">IF($A6="","",COUNTIFS(Task!$A$5:$A$404,$A6)-COUNTIFS(Task!$A$5:$A$404,$A6,Task!$K$5:$K$404,"Không áp dụng"))</f>
        <v>6</v>
      </c>
      <c r="Q6" s="14" t="n">
        <f aca="false">IF($A6="","",COUNTIFS(Task!$A$5:$A$404,$A6,Task!$K$5:$K$404,"Hoàn thành"))</f>
        <v>4</v>
      </c>
      <c r="R6" s="16" t="n">
        <f aca="false">IF($A6="","",Q6/MAX(P6,COUNTA('Mẫu task'!$A$5:$A$64)))</f>
        <v>0.117647058823529</v>
      </c>
      <c r="S6" s="14" t="n">
        <f aca="false">IF($A6="","",SUMIFS(Task!$O$5:$O$404,Task!$A$5:$A$404,$A6))</f>
        <v>0</v>
      </c>
      <c r="T6" s="14" t="n">
        <f aca="false">IF($A6="","",COUNTIFS(Task!$A$5:$A$404,$A6,Task!$K$5:$K$404,"Bị chặn"))</f>
        <v>1</v>
      </c>
      <c r="U6" s="14" t="str">
        <f aca="false">IF($A6="","",IF(P6=0,"Chưa có task",IF(T6&gt;0,"Bị chặn",IF(S6&gt;0,"Có việc trễ",IF(N6=9,"Hoàn tất","Đúng tiến độ")))))</f>
        <v>Bị chặn</v>
      </c>
      <c r="V6" s="14" t="str">
        <f aca="false">IF($A6="","",IFERROR(INDEX('Chấm điểm'!$D$16:$M$16,MATCH($A6,'Chấm điểm'!$D$4:$M$4,0)),""))</f>
        <v>Chưa chấm đủ</v>
      </c>
    </row>
    <row r="7" customFormat="false" ht="15" hidden="false" customHeight="false" outlineLevel="0" collapsed="false">
      <c r="A7" s="19"/>
      <c r="B7" s="19"/>
      <c r="C7" s="19"/>
      <c r="D7" s="19"/>
      <c r="E7" s="20"/>
      <c r="F7" s="14" t="str">
        <f aca="false">IF($A7="","",IF((COUNTIFS(Task!$A$5:$A$404,$A7,Task!$C$5:$C$404,F$3)-COUNTIFS(Task!$A$5:$A$404,$A7,Task!$C$5:$C$404,F$3,Task!$K$5:$K$404,"Không áp dụng"))=0,"–",IF(COUNTIFS(Task!$A$5:$A$404,$A7,Task!$C$5:$C$404,F$3,Task!$K$5:$K$404,"Hoàn thành")=(COUNTIFS(Task!$A$5:$A$404,$A7,Task!$C$5:$C$404,F$3)-COUNTIFS(Task!$A$5:$A$404,$A7,Task!$C$5:$C$404,F$3,Task!$K$5:$K$404,"Không áp dụng")),"Xong",IF(COUNTIFS(Task!$A$5:$A$404,$A7,Task!$C$5:$C$404,F$3,Task!$K$5:$K$404,"Bị chặn")&gt;0,"Bị chặn",IF(COUNTIFS(Task!$A$5:$A$404,$A7,Task!$C$5:$C$404,F$3,Task!$K$5:$K$404,"Hoàn thành")+COUNTIFS(Task!$A$5:$A$404,$A7,Task!$C$5:$C$404,F$3,Task!$K$5:$K$404,"Đang làm")&gt;0,"Đang làm","Chưa")))))</f>
        <v/>
      </c>
      <c r="G7" s="14" t="str">
        <f aca="false">IF($A7="","",IF((COUNTIFS(Task!$A$5:$A$404,$A7,Task!$C$5:$C$404,G$3)-COUNTIFS(Task!$A$5:$A$404,$A7,Task!$C$5:$C$404,G$3,Task!$K$5:$K$404,"Không áp dụng"))=0,"–",IF(COUNTIFS(Task!$A$5:$A$404,$A7,Task!$C$5:$C$404,G$3,Task!$K$5:$K$404,"Hoàn thành")=(COUNTIFS(Task!$A$5:$A$404,$A7,Task!$C$5:$C$404,G$3)-COUNTIFS(Task!$A$5:$A$404,$A7,Task!$C$5:$C$404,G$3,Task!$K$5:$K$404,"Không áp dụng")),"Xong",IF(COUNTIFS(Task!$A$5:$A$404,$A7,Task!$C$5:$C$404,G$3,Task!$K$5:$K$404,"Bị chặn")&gt;0,"Bị chặn",IF(COUNTIFS(Task!$A$5:$A$404,$A7,Task!$C$5:$C$404,G$3,Task!$K$5:$K$404,"Hoàn thành")+COUNTIFS(Task!$A$5:$A$404,$A7,Task!$C$5:$C$404,G$3,Task!$K$5:$K$404,"Đang làm")&gt;0,"Đang làm","Chưa")))))</f>
        <v/>
      </c>
      <c r="H7" s="14" t="str">
        <f aca="false">IF($A7="","",IF((COUNTIFS(Task!$A$5:$A$404,$A7,Task!$C$5:$C$404,H$3)-COUNTIFS(Task!$A$5:$A$404,$A7,Task!$C$5:$C$404,H$3,Task!$K$5:$K$404,"Không áp dụng"))=0,"–",IF(COUNTIFS(Task!$A$5:$A$404,$A7,Task!$C$5:$C$404,H$3,Task!$K$5:$K$404,"Hoàn thành")=(COUNTIFS(Task!$A$5:$A$404,$A7,Task!$C$5:$C$404,H$3)-COUNTIFS(Task!$A$5:$A$404,$A7,Task!$C$5:$C$404,H$3,Task!$K$5:$K$404,"Không áp dụng")),"Xong",IF(COUNTIFS(Task!$A$5:$A$404,$A7,Task!$C$5:$C$404,H$3,Task!$K$5:$K$404,"Bị chặn")&gt;0,"Bị chặn",IF(COUNTIFS(Task!$A$5:$A$404,$A7,Task!$C$5:$C$404,H$3,Task!$K$5:$K$404,"Hoàn thành")+COUNTIFS(Task!$A$5:$A$404,$A7,Task!$C$5:$C$404,H$3,Task!$K$5:$K$404,"Đang làm")&gt;0,"Đang làm","Chưa")))))</f>
        <v/>
      </c>
      <c r="I7" s="14" t="str">
        <f aca="false">IF($A7="","",IF((COUNTIFS(Task!$A$5:$A$404,$A7,Task!$C$5:$C$404,I$3)-COUNTIFS(Task!$A$5:$A$404,$A7,Task!$C$5:$C$404,I$3,Task!$K$5:$K$404,"Không áp dụng"))=0,"–",IF(COUNTIFS(Task!$A$5:$A$404,$A7,Task!$C$5:$C$404,I$3,Task!$K$5:$K$404,"Hoàn thành")=(COUNTIFS(Task!$A$5:$A$404,$A7,Task!$C$5:$C$404,I$3)-COUNTIFS(Task!$A$5:$A$404,$A7,Task!$C$5:$C$404,I$3,Task!$K$5:$K$404,"Không áp dụng")),"Xong",IF(COUNTIFS(Task!$A$5:$A$404,$A7,Task!$C$5:$C$404,I$3,Task!$K$5:$K$404,"Bị chặn")&gt;0,"Bị chặn",IF(COUNTIFS(Task!$A$5:$A$404,$A7,Task!$C$5:$C$404,I$3,Task!$K$5:$K$404,"Hoàn thành")+COUNTIFS(Task!$A$5:$A$404,$A7,Task!$C$5:$C$404,I$3,Task!$K$5:$K$404,"Đang làm")&gt;0,"Đang làm","Chưa")))))</f>
        <v/>
      </c>
      <c r="J7" s="14" t="str">
        <f aca="false">IF($A7="","",IF((COUNTIFS(Task!$A$5:$A$404,$A7,Task!$C$5:$C$404,J$3)-COUNTIFS(Task!$A$5:$A$404,$A7,Task!$C$5:$C$404,J$3,Task!$K$5:$K$404,"Không áp dụng"))=0,"–",IF(COUNTIFS(Task!$A$5:$A$404,$A7,Task!$C$5:$C$404,J$3,Task!$K$5:$K$404,"Hoàn thành")=(COUNTIFS(Task!$A$5:$A$404,$A7,Task!$C$5:$C$404,J$3)-COUNTIFS(Task!$A$5:$A$404,$A7,Task!$C$5:$C$404,J$3,Task!$K$5:$K$404,"Không áp dụng")),"Xong",IF(COUNTIFS(Task!$A$5:$A$404,$A7,Task!$C$5:$C$404,J$3,Task!$K$5:$K$404,"Bị chặn")&gt;0,"Bị chặn",IF(COUNTIFS(Task!$A$5:$A$404,$A7,Task!$C$5:$C$404,J$3,Task!$K$5:$K$404,"Hoàn thành")+COUNTIFS(Task!$A$5:$A$404,$A7,Task!$C$5:$C$404,J$3,Task!$K$5:$K$404,"Đang làm")&gt;0,"Đang làm","Chưa")))))</f>
        <v/>
      </c>
      <c r="K7" s="14" t="str">
        <f aca="false">IF($A7="","",IF((COUNTIFS(Task!$A$5:$A$404,$A7,Task!$C$5:$C$404,K$3)-COUNTIFS(Task!$A$5:$A$404,$A7,Task!$C$5:$C$404,K$3,Task!$K$5:$K$404,"Không áp dụng"))=0,"–",IF(COUNTIFS(Task!$A$5:$A$404,$A7,Task!$C$5:$C$404,K$3,Task!$K$5:$K$404,"Hoàn thành")=(COUNTIFS(Task!$A$5:$A$404,$A7,Task!$C$5:$C$404,K$3)-COUNTIFS(Task!$A$5:$A$404,$A7,Task!$C$5:$C$404,K$3,Task!$K$5:$K$404,"Không áp dụng")),"Xong",IF(COUNTIFS(Task!$A$5:$A$404,$A7,Task!$C$5:$C$404,K$3,Task!$K$5:$K$404,"Bị chặn")&gt;0,"Bị chặn",IF(COUNTIFS(Task!$A$5:$A$404,$A7,Task!$C$5:$C$404,K$3,Task!$K$5:$K$404,"Hoàn thành")+COUNTIFS(Task!$A$5:$A$404,$A7,Task!$C$5:$C$404,K$3,Task!$K$5:$K$404,"Đang làm")&gt;0,"Đang làm","Chưa")))))</f>
        <v/>
      </c>
      <c r="L7" s="14" t="str">
        <f aca="false">IF($A7="","",IF((COUNTIFS(Task!$A$5:$A$404,$A7,Task!$C$5:$C$404,L$3)-COUNTIFS(Task!$A$5:$A$404,$A7,Task!$C$5:$C$404,L$3,Task!$K$5:$K$404,"Không áp dụng"))=0,"–",IF(COUNTIFS(Task!$A$5:$A$404,$A7,Task!$C$5:$C$404,L$3,Task!$K$5:$K$404,"Hoàn thành")=(COUNTIFS(Task!$A$5:$A$404,$A7,Task!$C$5:$C$404,L$3)-COUNTIFS(Task!$A$5:$A$404,$A7,Task!$C$5:$C$404,L$3,Task!$K$5:$K$404,"Không áp dụng")),"Xong",IF(COUNTIFS(Task!$A$5:$A$404,$A7,Task!$C$5:$C$404,L$3,Task!$K$5:$K$404,"Bị chặn")&gt;0,"Bị chặn",IF(COUNTIFS(Task!$A$5:$A$404,$A7,Task!$C$5:$C$404,L$3,Task!$K$5:$K$404,"Hoàn thành")+COUNTIFS(Task!$A$5:$A$404,$A7,Task!$C$5:$C$404,L$3,Task!$K$5:$K$404,"Đang làm")&gt;0,"Đang làm","Chưa")))))</f>
        <v/>
      </c>
      <c r="M7" s="14" t="str">
        <f aca="false">IF($A7="","",IF((COUNTIFS(Task!$A$5:$A$404,$A7,Task!$C$5:$C$404,M$3)-COUNTIFS(Task!$A$5:$A$404,$A7,Task!$C$5:$C$404,M$3,Task!$K$5:$K$404,"Không áp dụng"))=0,"–",IF(COUNTIFS(Task!$A$5:$A$404,$A7,Task!$C$5:$C$404,M$3,Task!$K$5:$K$404,"Hoàn thành")=(COUNTIFS(Task!$A$5:$A$404,$A7,Task!$C$5:$C$404,M$3)-COUNTIFS(Task!$A$5:$A$404,$A7,Task!$C$5:$C$404,M$3,Task!$K$5:$K$404,"Không áp dụng")),"Xong",IF(COUNTIFS(Task!$A$5:$A$404,$A7,Task!$C$5:$C$404,M$3,Task!$K$5:$K$404,"Bị chặn")&gt;0,"Bị chặn",IF(COUNTIFS(Task!$A$5:$A$404,$A7,Task!$C$5:$C$404,M$3,Task!$K$5:$K$404,"Hoàn thành")+COUNTIFS(Task!$A$5:$A$404,$A7,Task!$C$5:$C$404,M$3,Task!$K$5:$K$404,"Đang làm")&gt;0,"Đang làm","Chưa")))))</f>
        <v/>
      </c>
      <c r="N7" s="14" t="str">
        <f aca="false">IF($A7="","",IF(F7&lt;&gt;"Xong",1,IF(G7&lt;&gt;"Xong",2,IF(H7&lt;&gt;"Xong",3,IF(I7&lt;&gt;"Xong",4,IF(J7&lt;&gt;"Xong",5,IF(K7&lt;&gt;"Xong",6,IF(L7&lt;&gt;"Xong",7,IF(M7&lt;&gt;"Xong",8,9)))))))))</f>
        <v/>
      </c>
      <c r="O7" s="14" t="str">
        <f aca="false">IF($A7="","",IF($N7=9,"Hoàn tất",INDEX('Quy trình'!$B$5:$B$12,$N7)))</f>
        <v/>
      </c>
      <c r="P7" s="14" t="str">
        <f aca="false">IF($A7="","",COUNTIFS(Task!$A$5:$A$404,$A7)-COUNTIFS(Task!$A$5:$A$404,$A7,Task!$K$5:$K$404,"Không áp dụng"))</f>
        <v/>
      </c>
      <c r="Q7" s="14" t="str">
        <f aca="false">IF($A7="","",COUNTIFS(Task!$A$5:$A$404,$A7,Task!$K$5:$K$404,"Hoàn thành"))</f>
        <v/>
      </c>
      <c r="R7" s="16" t="str">
        <f aca="false">IF($A7="","",Q7/MAX(P7,COUNTA('Mẫu task'!$A$5:$A$64)))</f>
        <v/>
      </c>
      <c r="S7" s="14" t="str">
        <f aca="false">IF($A7="","",SUMIFS(Task!$O$5:$O$404,Task!$A$5:$A$404,$A7))</f>
        <v/>
      </c>
      <c r="T7" s="14" t="str">
        <f aca="false">IF($A7="","",COUNTIFS(Task!$A$5:$A$404,$A7,Task!$K$5:$K$404,"Bị chặn"))</f>
        <v/>
      </c>
      <c r="U7" s="14" t="str">
        <f aca="false">IF($A7="","",IF(P7=0,"Chưa có task",IF(T7&gt;0,"Bị chặn",IF(S7&gt;0,"Có việc trễ",IF(N7=9,"Hoàn tất","Đúng tiến độ")))))</f>
        <v/>
      </c>
      <c r="V7" s="14" t="str">
        <f aca="false">IF($A7="","",IFERROR(INDEX('Chấm điểm'!$D$16:$M$16,MATCH($A7,'Chấm điểm'!$D$4:$M$4,0)),""))</f>
        <v/>
      </c>
    </row>
    <row r="8" customFormat="false" ht="15" hidden="false" customHeight="false" outlineLevel="0" collapsed="false">
      <c r="A8" s="19"/>
      <c r="B8" s="19"/>
      <c r="C8" s="19"/>
      <c r="D8" s="19"/>
      <c r="E8" s="20"/>
      <c r="F8" s="14" t="str">
        <f aca="false">IF($A8="","",IF((COUNTIFS(Task!$A$5:$A$404,$A8,Task!$C$5:$C$404,F$3)-COUNTIFS(Task!$A$5:$A$404,$A8,Task!$C$5:$C$404,F$3,Task!$K$5:$K$404,"Không áp dụng"))=0,"–",IF(COUNTIFS(Task!$A$5:$A$404,$A8,Task!$C$5:$C$404,F$3,Task!$K$5:$K$404,"Hoàn thành")=(COUNTIFS(Task!$A$5:$A$404,$A8,Task!$C$5:$C$404,F$3)-COUNTIFS(Task!$A$5:$A$404,$A8,Task!$C$5:$C$404,F$3,Task!$K$5:$K$404,"Không áp dụng")),"Xong",IF(COUNTIFS(Task!$A$5:$A$404,$A8,Task!$C$5:$C$404,F$3,Task!$K$5:$K$404,"Bị chặn")&gt;0,"Bị chặn",IF(COUNTIFS(Task!$A$5:$A$404,$A8,Task!$C$5:$C$404,F$3,Task!$K$5:$K$404,"Hoàn thành")+COUNTIFS(Task!$A$5:$A$404,$A8,Task!$C$5:$C$404,F$3,Task!$K$5:$K$404,"Đang làm")&gt;0,"Đang làm","Chưa")))))</f>
        <v/>
      </c>
      <c r="G8" s="14" t="str">
        <f aca="false">IF($A8="","",IF((COUNTIFS(Task!$A$5:$A$404,$A8,Task!$C$5:$C$404,G$3)-COUNTIFS(Task!$A$5:$A$404,$A8,Task!$C$5:$C$404,G$3,Task!$K$5:$K$404,"Không áp dụng"))=0,"–",IF(COUNTIFS(Task!$A$5:$A$404,$A8,Task!$C$5:$C$404,G$3,Task!$K$5:$K$404,"Hoàn thành")=(COUNTIFS(Task!$A$5:$A$404,$A8,Task!$C$5:$C$404,G$3)-COUNTIFS(Task!$A$5:$A$404,$A8,Task!$C$5:$C$404,G$3,Task!$K$5:$K$404,"Không áp dụng")),"Xong",IF(COUNTIFS(Task!$A$5:$A$404,$A8,Task!$C$5:$C$404,G$3,Task!$K$5:$K$404,"Bị chặn")&gt;0,"Bị chặn",IF(COUNTIFS(Task!$A$5:$A$404,$A8,Task!$C$5:$C$404,G$3,Task!$K$5:$K$404,"Hoàn thành")+COUNTIFS(Task!$A$5:$A$404,$A8,Task!$C$5:$C$404,G$3,Task!$K$5:$K$404,"Đang làm")&gt;0,"Đang làm","Chưa")))))</f>
        <v/>
      </c>
      <c r="H8" s="14" t="str">
        <f aca="false">IF($A8="","",IF((COUNTIFS(Task!$A$5:$A$404,$A8,Task!$C$5:$C$404,H$3)-COUNTIFS(Task!$A$5:$A$404,$A8,Task!$C$5:$C$404,H$3,Task!$K$5:$K$404,"Không áp dụng"))=0,"–",IF(COUNTIFS(Task!$A$5:$A$404,$A8,Task!$C$5:$C$404,H$3,Task!$K$5:$K$404,"Hoàn thành")=(COUNTIFS(Task!$A$5:$A$404,$A8,Task!$C$5:$C$404,H$3)-COUNTIFS(Task!$A$5:$A$404,$A8,Task!$C$5:$C$404,H$3,Task!$K$5:$K$404,"Không áp dụng")),"Xong",IF(COUNTIFS(Task!$A$5:$A$404,$A8,Task!$C$5:$C$404,H$3,Task!$K$5:$K$404,"Bị chặn")&gt;0,"Bị chặn",IF(COUNTIFS(Task!$A$5:$A$404,$A8,Task!$C$5:$C$404,H$3,Task!$K$5:$K$404,"Hoàn thành")+COUNTIFS(Task!$A$5:$A$404,$A8,Task!$C$5:$C$404,H$3,Task!$K$5:$K$404,"Đang làm")&gt;0,"Đang làm","Chưa")))))</f>
        <v/>
      </c>
      <c r="I8" s="14" t="str">
        <f aca="false">IF($A8="","",IF((COUNTIFS(Task!$A$5:$A$404,$A8,Task!$C$5:$C$404,I$3)-COUNTIFS(Task!$A$5:$A$404,$A8,Task!$C$5:$C$404,I$3,Task!$K$5:$K$404,"Không áp dụng"))=0,"–",IF(COUNTIFS(Task!$A$5:$A$404,$A8,Task!$C$5:$C$404,I$3,Task!$K$5:$K$404,"Hoàn thành")=(COUNTIFS(Task!$A$5:$A$404,$A8,Task!$C$5:$C$404,I$3)-COUNTIFS(Task!$A$5:$A$404,$A8,Task!$C$5:$C$404,I$3,Task!$K$5:$K$404,"Không áp dụng")),"Xong",IF(COUNTIFS(Task!$A$5:$A$404,$A8,Task!$C$5:$C$404,I$3,Task!$K$5:$K$404,"Bị chặn")&gt;0,"Bị chặn",IF(COUNTIFS(Task!$A$5:$A$404,$A8,Task!$C$5:$C$404,I$3,Task!$K$5:$K$404,"Hoàn thành")+COUNTIFS(Task!$A$5:$A$404,$A8,Task!$C$5:$C$404,I$3,Task!$K$5:$K$404,"Đang làm")&gt;0,"Đang làm","Chưa")))))</f>
        <v/>
      </c>
      <c r="J8" s="14" t="str">
        <f aca="false">IF($A8="","",IF((COUNTIFS(Task!$A$5:$A$404,$A8,Task!$C$5:$C$404,J$3)-COUNTIFS(Task!$A$5:$A$404,$A8,Task!$C$5:$C$404,J$3,Task!$K$5:$K$404,"Không áp dụng"))=0,"–",IF(COUNTIFS(Task!$A$5:$A$404,$A8,Task!$C$5:$C$404,J$3,Task!$K$5:$K$404,"Hoàn thành")=(COUNTIFS(Task!$A$5:$A$404,$A8,Task!$C$5:$C$404,J$3)-COUNTIFS(Task!$A$5:$A$404,$A8,Task!$C$5:$C$404,J$3,Task!$K$5:$K$404,"Không áp dụng")),"Xong",IF(COUNTIFS(Task!$A$5:$A$404,$A8,Task!$C$5:$C$404,J$3,Task!$K$5:$K$404,"Bị chặn")&gt;0,"Bị chặn",IF(COUNTIFS(Task!$A$5:$A$404,$A8,Task!$C$5:$C$404,J$3,Task!$K$5:$K$404,"Hoàn thành")+COUNTIFS(Task!$A$5:$A$404,$A8,Task!$C$5:$C$404,J$3,Task!$K$5:$K$404,"Đang làm")&gt;0,"Đang làm","Chưa")))))</f>
        <v/>
      </c>
      <c r="K8" s="14" t="str">
        <f aca="false">IF($A8="","",IF((COUNTIFS(Task!$A$5:$A$404,$A8,Task!$C$5:$C$404,K$3)-COUNTIFS(Task!$A$5:$A$404,$A8,Task!$C$5:$C$404,K$3,Task!$K$5:$K$404,"Không áp dụng"))=0,"–",IF(COUNTIFS(Task!$A$5:$A$404,$A8,Task!$C$5:$C$404,K$3,Task!$K$5:$K$404,"Hoàn thành")=(COUNTIFS(Task!$A$5:$A$404,$A8,Task!$C$5:$C$404,K$3)-COUNTIFS(Task!$A$5:$A$404,$A8,Task!$C$5:$C$404,K$3,Task!$K$5:$K$404,"Không áp dụng")),"Xong",IF(COUNTIFS(Task!$A$5:$A$404,$A8,Task!$C$5:$C$404,K$3,Task!$K$5:$K$404,"Bị chặn")&gt;0,"Bị chặn",IF(COUNTIFS(Task!$A$5:$A$404,$A8,Task!$C$5:$C$404,K$3,Task!$K$5:$K$404,"Hoàn thành")+COUNTIFS(Task!$A$5:$A$404,$A8,Task!$C$5:$C$404,K$3,Task!$K$5:$K$404,"Đang làm")&gt;0,"Đang làm","Chưa")))))</f>
        <v/>
      </c>
      <c r="L8" s="14" t="str">
        <f aca="false">IF($A8="","",IF((COUNTIFS(Task!$A$5:$A$404,$A8,Task!$C$5:$C$404,L$3)-COUNTIFS(Task!$A$5:$A$404,$A8,Task!$C$5:$C$404,L$3,Task!$K$5:$K$404,"Không áp dụng"))=0,"–",IF(COUNTIFS(Task!$A$5:$A$404,$A8,Task!$C$5:$C$404,L$3,Task!$K$5:$K$404,"Hoàn thành")=(COUNTIFS(Task!$A$5:$A$404,$A8,Task!$C$5:$C$404,L$3)-COUNTIFS(Task!$A$5:$A$404,$A8,Task!$C$5:$C$404,L$3,Task!$K$5:$K$404,"Không áp dụng")),"Xong",IF(COUNTIFS(Task!$A$5:$A$404,$A8,Task!$C$5:$C$404,L$3,Task!$K$5:$K$404,"Bị chặn")&gt;0,"Bị chặn",IF(COUNTIFS(Task!$A$5:$A$404,$A8,Task!$C$5:$C$404,L$3,Task!$K$5:$K$404,"Hoàn thành")+COUNTIFS(Task!$A$5:$A$404,$A8,Task!$C$5:$C$404,L$3,Task!$K$5:$K$404,"Đang làm")&gt;0,"Đang làm","Chưa")))))</f>
        <v/>
      </c>
      <c r="M8" s="14" t="str">
        <f aca="false">IF($A8="","",IF((COUNTIFS(Task!$A$5:$A$404,$A8,Task!$C$5:$C$404,M$3)-COUNTIFS(Task!$A$5:$A$404,$A8,Task!$C$5:$C$404,M$3,Task!$K$5:$K$404,"Không áp dụng"))=0,"–",IF(COUNTIFS(Task!$A$5:$A$404,$A8,Task!$C$5:$C$404,M$3,Task!$K$5:$K$404,"Hoàn thành")=(COUNTIFS(Task!$A$5:$A$404,$A8,Task!$C$5:$C$404,M$3)-COUNTIFS(Task!$A$5:$A$404,$A8,Task!$C$5:$C$404,M$3,Task!$K$5:$K$404,"Không áp dụng")),"Xong",IF(COUNTIFS(Task!$A$5:$A$404,$A8,Task!$C$5:$C$404,M$3,Task!$K$5:$K$404,"Bị chặn")&gt;0,"Bị chặn",IF(COUNTIFS(Task!$A$5:$A$404,$A8,Task!$C$5:$C$404,M$3,Task!$K$5:$K$404,"Hoàn thành")+COUNTIFS(Task!$A$5:$A$404,$A8,Task!$C$5:$C$404,M$3,Task!$K$5:$K$404,"Đang làm")&gt;0,"Đang làm","Chưa")))))</f>
        <v/>
      </c>
      <c r="N8" s="14" t="str">
        <f aca="false">IF($A8="","",IF(F8&lt;&gt;"Xong",1,IF(G8&lt;&gt;"Xong",2,IF(H8&lt;&gt;"Xong",3,IF(I8&lt;&gt;"Xong",4,IF(J8&lt;&gt;"Xong",5,IF(K8&lt;&gt;"Xong",6,IF(L8&lt;&gt;"Xong",7,IF(M8&lt;&gt;"Xong",8,9)))))))))</f>
        <v/>
      </c>
      <c r="O8" s="14" t="str">
        <f aca="false">IF($A8="","",IF($N8=9,"Hoàn tất",INDEX('Quy trình'!$B$5:$B$12,$N8)))</f>
        <v/>
      </c>
      <c r="P8" s="14" t="str">
        <f aca="false">IF($A8="","",COUNTIFS(Task!$A$5:$A$404,$A8)-COUNTIFS(Task!$A$5:$A$404,$A8,Task!$K$5:$K$404,"Không áp dụng"))</f>
        <v/>
      </c>
      <c r="Q8" s="14" t="str">
        <f aca="false">IF($A8="","",COUNTIFS(Task!$A$5:$A$404,$A8,Task!$K$5:$K$404,"Hoàn thành"))</f>
        <v/>
      </c>
      <c r="R8" s="16" t="str">
        <f aca="false">IF($A8="","",Q8/MAX(P8,COUNTA('Mẫu task'!$A$5:$A$64)))</f>
        <v/>
      </c>
      <c r="S8" s="14" t="str">
        <f aca="false">IF($A8="","",SUMIFS(Task!$O$5:$O$404,Task!$A$5:$A$404,$A8))</f>
        <v/>
      </c>
      <c r="T8" s="14" t="str">
        <f aca="false">IF($A8="","",COUNTIFS(Task!$A$5:$A$404,$A8,Task!$K$5:$K$404,"Bị chặn"))</f>
        <v/>
      </c>
      <c r="U8" s="14" t="str">
        <f aca="false">IF($A8="","",IF(P8=0,"Chưa có task",IF(T8&gt;0,"Bị chặn",IF(S8&gt;0,"Có việc trễ",IF(N8=9,"Hoàn tất","Đúng tiến độ")))))</f>
        <v/>
      </c>
      <c r="V8" s="14" t="str">
        <f aca="false">IF($A8="","",IFERROR(INDEX('Chấm điểm'!$D$16:$M$16,MATCH($A8,'Chấm điểm'!$D$4:$M$4,0)),""))</f>
        <v/>
      </c>
    </row>
    <row r="9" customFormat="false" ht="15" hidden="false" customHeight="false" outlineLevel="0" collapsed="false">
      <c r="A9" s="19"/>
      <c r="B9" s="19"/>
      <c r="C9" s="19"/>
      <c r="D9" s="19"/>
      <c r="E9" s="20"/>
      <c r="F9" s="14" t="str">
        <f aca="false">IF($A9="","",IF((COUNTIFS(Task!$A$5:$A$404,$A9,Task!$C$5:$C$404,F$3)-COUNTIFS(Task!$A$5:$A$404,$A9,Task!$C$5:$C$404,F$3,Task!$K$5:$K$404,"Không áp dụng"))=0,"–",IF(COUNTIFS(Task!$A$5:$A$404,$A9,Task!$C$5:$C$404,F$3,Task!$K$5:$K$404,"Hoàn thành")=(COUNTIFS(Task!$A$5:$A$404,$A9,Task!$C$5:$C$404,F$3)-COUNTIFS(Task!$A$5:$A$404,$A9,Task!$C$5:$C$404,F$3,Task!$K$5:$K$404,"Không áp dụng")),"Xong",IF(COUNTIFS(Task!$A$5:$A$404,$A9,Task!$C$5:$C$404,F$3,Task!$K$5:$K$404,"Bị chặn")&gt;0,"Bị chặn",IF(COUNTIFS(Task!$A$5:$A$404,$A9,Task!$C$5:$C$404,F$3,Task!$K$5:$K$404,"Hoàn thành")+COUNTIFS(Task!$A$5:$A$404,$A9,Task!$C$5:$C$404,F$3,Task!$K$5:$K$404,"Đang làm")&gt;0,"Đang làm","Chưa")))))</f>
        <v/>
      </c>
      <c r="G9" s="14" t="str">
        <f aca="false">IF($A9="","",IF((COUNTIFS(Task!$A$5:$A$404,$A9,Task!$C$5:$C$404,G$3)-COUNTIFS(Task!$A$5:$A$404,$A9,Task!$C$5:$C$404,G$3,Task!$K$5:$K$404,"Không áp dụng"))=0,"–",IF(COUNTIFS(Task!$A$5:$A$404,$A9,Task!$C$5:$C$404,G$3,Task!$K$5:$K$404,"Hoàn thành")=(COUNTIFS(Task!$A$5:$A$404,$A9,Task!$C$5:$C$404,G$3)-COUNTIFS(Task!$A$5:$A$404,$A9,Task!$C$5:$C$404,G$3,Task!$K$5:$K$404,"Không áp dụng")),"Xong",IF(COUNTIFS(Task!$A$5:$A$404,$A9,Task!$C$5:$C$404,G$3,Task!$K$5:$K$404,"Bị chặn")&gt;0,"Bị chặn",IF(COUNTIFS(Task!$A$5:$A$404,$A9,Task!$C$5:$C$404,G$3,Task!$K$5:$K$404,"Hoàn thành")+COUNTIFS(Task!$A$5:$A$404,$A9,Task!$C$5:$C$404,G$3,Task!$K$5:$K$404,"Đang làm")&gt;0,"Đang làm","Chưa")))))</f>
        <v/>
      </c>
      <c r="H9" s="14" t="str">
        <f aca="false">IF($A9="","",IF((COUNTIFS(Task!$A$5:$A$404,$A9,Task!$C$5:$C$404,H$3)-COUNTIFS(Task!$A$5:$A$404,$A9,Task!$C$5:$C$404,H$3,Task!$K$5:$K$404,"Không áp dụng"))=0,"–",IF(COUNTIFS(Task!$A$5:$A$404,$A9,Task!$C$5:$C$404,H$3,Task!$K$5:$K$404,"Hoàn thành")=(COUNTIFS(Task!$A$5:$A$404,$A9,Task!$C$5:$C$404,H$3)-COUNTIFS(Task!$A$5:$A$404,$A9,Task!$C$5:$C$404,H$3,Task!$K$5:$K$404,"Không áp dụng")),"Xong",IF(COUNTIFS(Task!$A$5:$A$404,$A9,Task!$C$5:$C$404,H$3,Task!$K$5:$K$404,"Bị chặn")&gt;0,"Bị chặn",IF(COUNTIFS(Task!$A$5:$A$404,$A9,Task!$C$5:$C$404,H$3,Task!$K$5:$K$404,"Hoàn thành")+COUNTIFS(Task!$A$5:$A$404,$A9,Task!$C$5:$C$404,H$3,Task!$K$5:$K$404,"Đang làm")&gt;0,"Đang làm","Chưa")))))</f>
        <v/>
      </c>
      <c r="I9" s="14" t="str">
        <f aca="false">IF($A9="","",IF((COUNTIFS(Task!$A$5:$A$404,$A9,Task!$C$5:$C$404,I$3)-COUNTIFS(Task!$A$5:$A$404,$A9,Task!$C$5:$C$404,I$3,Task!$K$5:$K$404,"Không áp dụng"))=0,"–",IF(COUNTIFS(Task!$A$5:$A$404,$A9,Task!$C$5:$C$404,I$3,Task!$K$5:$K$404,"Hoàn thành")=(COUNTIFS(Task!$A$5:$A$404,$A9,Task!$C$5:$C$404,I$3)-COUNTIFS(Task!$A$5:$A$404,$A9,Task!$C$5:$C$404,I$3,Task!$K$5:$K$404,"Không áp dụng")),"Xong",IF(COUNTIFS(Task!$A$5:$A$404,$A9,Task!$C$5:$C$404,I$3,Task!$K$5:$K$404,"Bị chặn")&gt;0,"Bị chặn",IF(COUNTIFS(Task!$A$5:$A$404,$A9,Task!$C$5:$C$404,I$3,Task!$K$5:$K$404,"Hoàn thành")+COUNTIFS(Task!$A$5:$A$404,$A9,Task!$C$5:$C$404,I$3,Task!$K$5:$K$404,"Đang làm")&gt;0,"Đang làm","Chưa")))))</f>
        <v/>
      </c>
      <c r="J9" s="14" t="str">
        <f aca="false">IF($A9="","",IF((COUNTIFS(Task!$A$5:$A$404,$A9,Task!$C$5:$C$404,J$3)-COUNTIFS(Task!$A$5:$A$404,$A9,Task!$C$5:$C$404,J$3,Task!$K$5:$K$404,"Không áp dụng"))=0,"–",IF(COUNTIFS(Task!$A$5:$A$404,$A9,Task!$C$5:$C$404,J$3,Task!$K$5:$K$404,"Hoàn thành")=(COUNTIFS(Task!$A$5:$A$404,$A9,Task!$C$5:$C$404,J$3)-COUNTIFS(Task!$A$5:$A$404,$A9,Task!$C$5:$C$404,J$3,Task!$K$5:$K$404,"Không áp dụng")),"Xong",IF(COUNTIFS(Task!$A$5:$A$404,$A9,Task!$C$5:$C$404,J$3,Task!$K$5:$K$404,"Bị chặn")&gt;0,"Bị chặn",IF(COUNTIFS(Task!$A$5:$A$404,$A9,Task!$C$5:$C$404,J$3,Task!$K$5:$K$404,"Hoàn thành")+COUNTIFS(Task!$A$5:$A$404,$A9,Task!$C$5:$C$404,J$3,Task!$K$5:$K$404,"Đang làm")&gt;0,"Đang làm","Chưa")))))</f>
        <v/>
      </c>
      <c r="K9" s="14" t="str">
        <f aca="false">IF($A9="","",IF((COUNTIFS(Task!$A$5:$A$404,$A9,Task!$C$5:$C$404,K$3)-COUNTIFS(Task!$A$5:$A$404,$A9,Task!$C$5:$C$404,K$3,Task!$K$5:$K$404,"Không áp dụng"))=0,"–",IF(COUNTIFS(Task!$A$5:$A$404,$A9,Task!$C$5:$C$404,K$3,Task!$K$5:$K$404,"Hoàn thành")=(COUNTIFS(Task!$A$5:$A$404,$A9,Task!$C$5:$C$404,K$3)-COUNTIFS(Task!$A$5:$A$404,$A9,Task!$C$5:$C$404,K$3,Task!$K$5:$K$404,"Không áp dụng")),"Xong",IF(COUNTIFS(Task!$A$5:$A$404,$A9,Task!$C$5:$C$404,K$3,Task!$K$5:$K$404,"Bị chặn")&gt;0,"Bị chặn",IF(COUNTIFS(Task!$A$5:$A$404,$A9,Task!$C$5:$C$404,K$3,Task!$K$5:$K$404,"Hoàn thành")+COUNTIFS(Task!$A$5:$A$404,$A9,Task!$C$5:$C$404,K$3,Task!$K$5:$K$404,"Đang làm")&gt;0,"Đang làm","Chưa")))))</f>
        <v/>
      </c>
      <c r="L9" s="14" t="str">
        <f aca="false">IF($A9="","",IF((COUNTIFS(Task!$A$5:$A$404,$A9,Task!$C$5:$C$404,L$3)-COUNTIFS(Task!$A$5:$A$404,$A9,Task!$C$5:$C$404,L$3,Task!$K$5:$K$404,"Không áp dụng"))=0,"–",IF(COUNTIFS(Task!$A$5:$A$404,$A9,Task!$C$5:$C$404,L$3,Task!$K$5:$K$404,"Hoàn thành")=(COUNTIFS(Task!$A$5:$A$404,$A9,Task!$C$5:$C$404,L$3)-COUNTIFS(Task!$A$5:$A$404,$A9,Task!$C$5:$C$404,L$3,Task!$K$5:$K$404,"Không áp dụng")),"Xong",IF(COUNTIFS(Task!$A$5:$A$404,$A9,Task!$C$5:$C$404,L$3,Task!$K$5:$K$404,"Bị chặn")&gt;0,"Bị chặn",IF(COUNTIFS(Task!$A$5:$A$404,$A9,Task!$C$5:$C$404,L$3,Task!$K$5:$K$404,"Hoàn thành")+COUNTIFS(Task!$A$5:$A$404,$A9,Task!$C$5:$C$404,L$3,Task!$K$5:$K$404,"Đang làm")&gt;0,"Đang làm","Chưa")))))</f>
        <v/>
      </c>
      <c r="M9" s="14" t="str">
        <f aca="false">IF($A9="","",IF((COUNTIFS(Task!$A$5:$A$404,$A9,Task!$C$5:$C$404,M$3)-COUNTIFS(Task!$A$5:$A$404,$A9,Task!$C$5:$C$404,M$3,Task!$K$5:$K$404,"Không áp dụng"))=0,"–",IF(COUNTIFS(Task!$A$5:$A$404,$A9,Task!$C$5:$C$404,M$3,Task!$K$5:$K$404,"Hoàn thành")=(COUNTIFS(Task!$A$5:$A$404,$A9,Task!$C$5:$C$404,M$3)-COUNTIFS(Task!$A$5:$A$404,$A9,Task!$C$5:$C$404,M$3,Task!$K$5:$K$404,"Không áp dụng")),"Xong",IF(COUNTIFS(Task!$A$5:$A$404,$A9,Task!$C$5:$C$404,M$3,Task!$K$5:$K$404,"Bị chặn")&gt;0,"Bị chặn",IF(COUNTIFS(Task!$A$5:$A$404,$A9,Task!$C$5:$C$404,M$3,Task!$K$5:$K$404,"Hoàn thành")+COUNTIFS(Task!$A$5:$A$404,$A9,Task!$C$5:$C$404,M$3,Task!$K$5:$K$404,"Đang làm")&gt;0,"Đang làm","Chưa")))))</f>
        <v/>
      </c>
      <c r="N9" s="14" t="str">
        <f aca="false">IF($A9="","",IF(F9&lt;&gt;"Xong",1,IF(G9&lt;&gt;"Xong",2,IF(H9&lt;&gt;"Xong",3,IF(I9&lt;&gt;"Xong",4,IF(J9&lt;&gt;"Xong",5,IF(K9&lt;&gt;"Xong",6,IF(L9&lt;&gt;"Xong",7,IF(M9&lt;&gt;"Xong",8,9)))))))))</f>
        <v/>
      </c>
      <c r="O9" s="14" t="str">
        <f aca="false">IF($A9="","",IF($N9=9,"Hoàn tất",INDEX('Quy trình'!$B$5:$B$12,$N9)))</f>
        <v/>
      </c>
      <c r="P9" s="14" t="str">
        <f aca="false">IF($A9="","",COUNTIFS(Task!$A$5:$A$404,$A9)-COUNTIFS(Task!$A$5:$A$404,$A9,Task!$K$5:$K$404,"Không áp dụng"))</f>
        <v/>
      </c>
      <c r="Q9" s="14" t="str">
        <f aca="false">IF($A9="","",COUNTIFS(Task!$A$5:$A$404,$A9,Task!$K$5:$K$404,"Hoàn thành"))</f>
        <v/>
      </c>
      <c r="R9" s="16" t="str">
        <f aca="false">IF($A9="","",Q9/MAX(P9,COUNTA('Mẫu task'!$A$5:$A$64)))</f>
        <v/>
      </c>
      <c r="S9" s="14" t="str">
        <f aca="false">IF($A9="","",SUMIFS(Task!$O$5:$O$404,Task!$A$5:$A$404,$A9))</f>
        <v/>
      </c>
      <c r="T9" s="14" t="str">
        <f aca="false">IF($A9="","",COUNTIFS(Task!$A$5:$A$404,$A9,Task!$K$5:$K$404,"Bị chặn"))</f>
        <v/>
      </c>
      <c r="U9" s="14" t="str">
        <f aca="false">IF($A9="","",IF(P9=0,"Chưa có task",IF(T9&gt;0,"Bị chặn",IF(S9&gt;0,"Có việc trễ",IF(N9=9,"Hoàn tất","Đúng tiến độ")))))</f>
        <v/>
      </c>
      <c r="V9" s="14" t="str">
        <f aca="false">IF($A9="","",IFERROR(INDEX('Chấm điểm'!$D$16:$M$16,MATCH($A9,'Chấm điểm'!$D$4:$M$4,0)),""))</f>
        <v/>
      </c>
    </row>
    <row r="10" customFormat="false" ht="15" hidden="false" customHeight="false" outlineLevel="0" collapsed="false">
      <c r="A10" s="19"/>
      <c r="B10" s="19"/>
      <c r="C10" s="19"/>
      <c r="D10" s="19"/>
      <c r="E10" s="20"/>
      <c r="F10" s="14" t="str">
        <f aca="false">IF($A10="","",IF((COUNTIFS(Task!$A$5:$A$404,$A10,Task!$C$5:$C$404,F$3)-COUNTIFS(Task!$A$5:$A$404,$A10,Task!$C$5:$C$404,F$3,Task!$K$5:$K$404,"Không áp dụng"))=0,"–",IF(COUNTIFS(Task!$A$5:$A$404,$A10,Task!$C$5:$C$404,F$3,Task!$K$5:$K$404,"Hoàn thành")=(COUNTIFS(Task!$A$5:$A$404,$A10,Task!$C$5:$C$404,F$3)-COUNTIFS(Task!$A$5:$A$404,$A10,Task!$C$5:$C$404,F$3,Task!$K$5:$K$404,"Không áp dụng")),"Xong",IF(COUNTIFS(Task!$A$5:$A$404,$A10,Task!$C$5:$C$404,F$3,Task!$K$5:$K$404,"Bị chặn")&gt;0,"Bị chặn",IF(COUNTIFS(Task!$A$5:$A$404,$A10,Task!$C$5:$C$404,F$3,Task!$K$5:$K$404,"Hoàn thành")+COUNTIFS(Task!$A$5:$A$404,$A10,Task!$C$5:$C$404,F$3,Task!$K$5:$K$404,"Đang làm")&gt;0,"Đang làm","Chưa")))))</f>
        <v/>
      </c>
      <c r="G10" s="14" t="str">
        <f aca="false">IF($A10="","",IF((COUNTIFS(Task!$A$5:$A$404,$A10,Task!$C$5:$C$404,G$3)-COUNTIFS(Task!$A$5:$A$404,$A10,Task!$C$5:$C$404,G$3,Task!$K$5:$K$404,"Không áp dụng"))=0,"–",IF(COUNTIFS(Task!$A$5:$A$404,$A10,Task!$C$5:$C$404,G$3,Task!$K$5:$K$404,"Hoàn thành")=(COUNTIFS(Task!$A$5:$A$404,$A10,Task!$C$5:$C$404,G$3)-COUNTIFS(Task!$A$5:$A$404,$A10,Task!$C$5:$C$404,G$3,Task!$K$5:$K$404,"Không áp dụng")),"Xong",IF(COUNTIFS(Task!$A$5:$A$404,$A10,Task!$C$5:$C$404,G$3,Task!$K$5:$K$404,"Bị chặn")&gt;0,"Bị chặn",IF(COUNTIFS(Task!$A$5:$A$404,$A10,Task!$C$5:$C$404,G$3,Task!$K$5:$K$404,"Hoàn thành")+COUNTIFS(Task!$A$5:$A$404,$A10,Task!$C$5:$C$404,G$3,Task!$K$5:$K$404,"Đang làm")&gt;0,"Đang làm","Chưa")))))</f>
        <v/>
      </c>
      <c r="H10" s="14" t="str">
        <f aca="false">IF($A10="","",IF((COUNTIFS(Task!$A$5:$A$404,$A10,Task!$C$5:$C$404,H$3)-COUNTIFS(Task!$A$5:$A$404,$A10,Task!$C$5:$C$404,H$3,Task!$K$5:$K$404,"Không áp dụng"))=0,"–",IF(COUNTIFS(Task!$A$5:$A$404,$A10,Task!$C$5:$C$404,H$3,Task!$K$5:$K$404,"Hoàn thành")=(COUNTIFS(Task!$A$5:$A$404,$A10,Task!$C$5:$C$404,H$3)-COUNTIFS(Task!$A$5:$A$404,$A10,Task!$C$5:$C$404,H$3,Task!$K$5:$K$404,"Không áp dụng")),"Xong",IF(COUNTIFS(Task!$A$5:$A$404,$A10,Task!$C$5:$C$404,H$3,Task!$K$5:$K$404,"Bị chặn")&gt;0,"Bị chặn",IF(COUNTIFS(Task!$A$5:$A$404,$A10,Task!$C$5:$C$404,H$3,Task!$K$5:$K$404,"Hoàn thành")+COUNTIFS(Task!$A$5:$A$404,$A10,Task!$C$5:$C$404,H$3,Task!$K$5:$K$404,"Đang làm")&gt;0,"Đang làm","Chưa")))))</f>
        <v/>
      </c>
      <c r="I10" s="14" t="str">
        <f aca="false">IF($A10="","",IF((COUNTIFS(Task!$A$5:$A$404,$A10,Task!$C$5:$C$404,I$3)-COUNTIFS(Task!$A$5:$A$404,$A10,Task!$C$5:$C$404,I$3,Task!$K$5:$K$404,"Không áp dụng"))=0,"–",IF(COUNTIFS(Task!$A$5:$A$404,$A10,Task!$C$5:$C$404,I$3,Task!$K$5:$K$404,"Hoàn thành")=(COUNTIFS(Task!$A$5:$A$404,$A10,Task!$C$5:$C$404,I$3)-COUNTIFS(Task!$A$5:$A$404,$A10,Task!$C$5:$C$404,I$3,Task!$K$5:$K$404,"Không áp dụng")),"Xong",IF(COUNTIFS(Task!$A$5:$A$404,$A10,Task!$C$5:$C$404,I$3,Task!$K$5:$K$404,"Bị chặn")&gt;0,"Bị chặn",IF(COUNTIFS(Task!$A$5:$A$404,$A10,Task!$C$5:$C$404,I$3,Task!$K$5:$K$404,"Hoàn thành")+COUNTIFS(Task!$A$5:$A$404,$A10,Task!$C$5:$C$404,I$3,Task!$K$5:$K$404,"Đang làm")&gt;0,"Đang làm","Chưa")))))</f>
        <v/>
      </c>
      <c r="J10" s="14" t="str">
        <f aca="false">IF($A10="","",IF((COUNTIFS(Task!$A$5:$A$404,$A10,Task!$C$5:$C$404,J$3)-COUNTIFS(Task!$A$5:$A$404,$A10,Task!$C$5:$C$404,J$3,Task!$K$5:$K$404,"Không áp dụng"))=0,"–",IF(COUNTIFS(Task!$A$5:$A$404,$A10,Task!$C$5:$C$404,J$3,Task!$K$5:$K$404,"Hoàn thành")=(COUNTIFS(Task!$A$5:$A$404,$A10,Task!$C$5:$C$404,J$3)-COUNTIFS(Task!$A$5:$A$404,$A10,Task!$C$5:$C$404,J$3,Task!$K$5:$K$404,"Không áp dụng")),"Xong",IF(COUNTIFS(Task!$A$5:$A$404,$A10,Task!$C$5:$C$404,J$3,Task!$K$5:$K$404,"Bị chặn")&gt;0,"Bị chặn",IF(COUNTIFS(Task!$A$5:$A$404,$A10,Task!$C$5:$C$404,J$3,Task!$K$5:$K$404,"Hoàn thành")+COUNTIFS(Task!$A$5:$A$404,$A10,Task!$C$5:$C$404,J$3,Task!$K$5:$K$404,"Đang làm")&gt;0,"Đang làm","Chưa")))))</f>
        <v/>
      </c>
      <c r="K10" s="14" t="str">
        <f aca="false">IF($A10="","",IF((COUNTIFS(Task!$A$5:$A$404,$A10,Task!$C$5:$C$404,K$3)-COUNTIFS(Task!$A$5:$A$404,$A10,Task!$C$5:$C$404,K$3,Task!$K$5:$K$404,"Không áp dụng"))=0,"–",IF(COUNTIFS(Task!$A$5:$A$404,$A10,Task!$C$5:$C$404,K$3,Task!$K$5:$K$404,"Hoàn thành")=(COUNTIFS(Task!$A$5:$A$404,$A10,Task!$C$5:$C$404,K$3)-COUNTIFS(Task!$A$5:$A$404,$A10,Task!$C$5:$C$404,K$3,Task!$K$5:$K$404,"Không áp dụng")),"Xong",IF(COUNTIFS(Task!$A$5:$A$404,$A10,Task!$C$5:$C$404,K$3,Task!$K$5:$K$404,"Bị chặn")&gt;0,"Bị chặn",IF(COUNTIFS(Task!$A$5:$A$404,$A10,Task!$C$5:$C$404,K$3,Task!$K$5:$K$404,"Hoàn thành")+COUNTIFS(Task!$A$5:$A$404,$A10,Task!$C$5:$C$404,K$3,Task!$K$5:$K$404,"Đang làm")&gt;0,"Đang làm","Chưa")))))</f>
        <v/>
      </c>
      <c r="L10" s="14" t="str">
        <f aca="false">IF($A10="","",IF((COUNTIFS(Task!$A$5:$A$404,$A10,Task!$C$5:$C$404,L$3)-COUNTIFS(Task!$A$5:$A$404,$A10,Task!$C$5:$C$404,L$3,Task!$K$5:$K$404,"Không áp dụng"))=0,"–",IF(COUNTIFS(Task!$A$5:$A$404,$A10,Task!$C$5:$C$404,L$3,Task!$K$5:$K$404,"Hoàn thành")=(COUNTIFS(Task!$A$5:$A$404,$A10,Task!$C$5:$C$404,L$3)-COUNTIFS(Task!$A$5:$A$404,$A10,Task!$C$5:$C$404,L$3,Task!$K$5:$K$404,"Không áp dụng")),"Xong",IF(COUNTIFS(Task!$A$5:$A$404,$A10,Task!$C$5:$C$404,L$3,Task!$K$5:$K$404,"Bị chặn")&gt;0,"Bị chặn",IF(COUNTIFS(Task!$A$5:$A$404,$A10,Task!$C$5:$C$404,L$3,Task!$K$5:$K$404,"Hoàn thành")+COUNTIFS(Task!$A$5:$A$404,$A10,Task!$C$5:$C$404,L$3,Task!$K$5:$K$404,"Đang làm")&gt;0,"Đang làm","Chưa")))))</f>
        <v/>
      </c>
      <c r="M10" s="14" t="str">
        <f aca="false">IF($A10="","",IF((COUNTIFS(Task!$A$5:$A$404,$A10,Task!$C$5:$C$404,M$3)-COUNTIFS(Task!$A$5:$A$404,$A10,Task!$C$5:$C$404,M$3,Task!$K$5:$K$404,"Không áp dụng"))=0,"–",IF(COUNTIFS(Task!$A$5:$A$404,$A10,Task!$C$5:$C$404,M$3,Task!$K$5:$K$404,"Hoàn thành")=(COUNTIFS(Task!$A$5:$A$404,$A10,Task!$C$5:$C$404,M$3)-COUNTIFS(Task!$A$5:$A$404,$A10,Task!$C$5:$C$404,M$3,Task!$K$5:$K$404,"Không áp dụng")),"Xong",IF(COUNTIFS(Task!$A$5:$A$404,$A10,Task!$C$5:$C$404,M$3,Task!$K$5:$K$404,"Bị chặn")&gt;0,"Bị chặn",IF(COUNTIFS(Task!$A$5:$A$404,$A10,Task!$C$5:$C$404,M$3,Task!$K$5:$K$404,"Hoàn thành")+COUNTIFS(Task!$A$5:$A$404,$A10,Task!$C$5:$C$404,M$3,Task!$K$5:$K$404,"Đang làm")&gt;0,"Đang làm","Chưa")))))</f>
        <v/>
      </c>
      <c r="N10" s="14" t="str">
        <f aca="false">IF($A10="","",IF(F10&lt;&gt;"Xong",1,IF(G10&lt;&gt;"Xong",2,IF(H10&lt;&gt;"Xong",3,IF(I10&lt;&gt;"Xong",4,IF(J10&lt;&gt;"Xong",5,IF(K10&lt;&gt;"Xong",6,IF(L10&lt;&gt;"Xong",7,IF(M10&lt;&gt;"Xong",8,9)))))))))</f>
        <v/>
      </c>
      <c r="O10" s="14" t="str">
        <f aca="false">IF($A10="","",IF($N10=9,"Hoàn tất",INDEX('Quy trình'!$B$5:$B$12,$N10)))</f>
        <v/>
      </c>
      <c r="P10" s="14" t="str">
        <f aca="false">IF($A10="","",COUNTIFS(Task!$A$5:$A$404,$A10)-COUNTIFS(Task!$A$5:$A$404,$A10,Task!$K$5:$K$404,"Không áp dụng"))</f>
        <v/>
      </c>
      <c r="Q10" s="14" t="str">
        <f aca="false">IF($A10="","",COUNTIFS(Task!$A$5:$A$404,$A10,Task!$K$5:$K$404,"Hoàn thành"))</f>
        <v/>
      </c>
      <c r="R10" s="16" t="str">
        <f aca="false">IF($A10="","",Q10/MAX(P10,COUNTA('Mẫu task'!$A$5:$A$64)))</f>
        <v/>
      </c>
      <c r="S10" s="14" t="str">
        <f aca="false">IF($A10="","",SUMIFS(Task!$O$5:$O$404,Task!$A$5:$A$404,$A10))</f>
        <v/>
      </c>
      <c r="T10" s="14" t="str">
        <f aca="false">IF($A10="","",COUNTIFS(Task!$A$5:$A$404,$A10,Task!$K$5:$K$404,"Bị chặn"))</f>
        <v/>
      </c>
      <c r="U10" s="14" t="str">
        <f aca="false">IF($A10="","",IF(P10=0,"Chưa có task",IF(T10&gt;0,"Bị chặn",IF(S10&gt;0,"Có việc trễ",IF(N10=9,"Hoàn tất","Đúng tiến độ")))))</f>
        <v/>
      </c>
      <c r="V10" s="14" t="str">
        <f aca="false">IF($A10="","",IFERROR(INDEX('Chấm điểm'!$D$16:$M$16,MATCH($A10,'Chấm điểm'!$D$4:$M$4,0)),""))</f>
        <v/>
      </c>
    </row>
    <row r="11" customFormat="false" ht="15" hidden="false" customHeight="false" outlineLevel="0" collapsed="false">
      <c r="A11" s="19"/>
      <c r="B11" s="19"/>
      <c r="C11" s="19"/>
      <c r="D11" s="19"/>
      <c r="E11" s="20"/>
      <c r="F11" s="14" t="str">
        <f aca="false">IF($A11="","",IF((COUNTIFS(Task!$A$5:$A$404,$A11,Task!$C$5:$C$404,F$3)-COUNTIFS(Task!$A$5:$A$404,$A11,Task!$C$5:$C$404,F$3,Task!$K$5:$K$404,"Không áp dụng"))=0,"–",IF(COUNTIFS(Task!$A$5:$A$404,$A11,Task!$C$5:$C$404,F$3,Task!$K$5:$K$404,"Hoàn thành")=(COUNTIFS(Task!$A$5:$A$404,$A11,Task!$C$5:$C$404,F$3)-COUNTIFS(Task!$A$5:$A$404,$A11,Task!$C$5:$C$404,F$3,Task!$K$5:$K$404,"Không áp dụng")),"Xong",IF(COUNTIFS(Task!$A$5:$A$404,$A11,Task!$C$5:$C$404,F$3,Task!$K$5:$K$404,"Bị chặn")&gt;0,"Bị chặn",IF(COUNTIFS(Task!$A$5:$A$404,$A11,Task!$C$5:$C$404,F$3,Task!$K$5:$K$404,"Hoàn thành")+COUNTIFS(Task!$A$5:$A$404,$A11,Task!$C$5:$C$404,F$3,Task!$K$5:$K$404,"Đang làm")&gt;0,"Đang làm","Chưa")))))</f>
        <v/>
      </c>
      <c r="G11" s="14" t="str">
        <f aca="false">IF($A11="","",IF((COUNTIFS(Task!$A$5:$A$404,$A11,Task!$C$5:$C$404,G$3)-COUNTIFS(Task!$A$5:$A$404,$A11,Task!$C$5:$C$404,G$3,Task!$K$5:$K$404,"Không áp dụng"))=0,"–",IF(COUNTIFS(Task!$A$5:$A$404,$A11,Task!$C$5:$C$404,G$3,Task!$K$5:$K$404,"Hoàn thành")=(COUNTIFS(Task!$A$5:$A$404,$A11,Task!$C$5:$C$404,G$3)-COUNTIFS(Task!$A$5:$A$404,$A11,Task!$C$5:$C$404,G$3,Task!$K$5:$K$404,"Không áp dụng")),"Xong",IF(COUNTIFS(Task!$A$5:$A$404,$A11,Task!$C$5:$C$404,G$3,Task!$K$5:$K$404,"Bị chặn")&gt;0,"Bị chặn",IF(COUNTIFS(Task!$A$5:$A$404,$A11,Task!$C$5:$C$404,G$3,Task!$K$5:$K$404,"Hoàn thành")+COUNTIFS(Task!$A$5:$A$404,$A11,Task!$C$5:$C$404,G$3,Task!$K$5:$K$404,"Đang làm")&gt;0,"Đang làm","Chưa")))))</f>
        <v/>
      </c>
      <c r="H11" s="14" t="str">
        <f aca="false">IF($A11="","",IF((COUNTIFS(Task!$A$5:$A$404,$A11,Task!$C$5:$C$404,H$3)-COUNTIFS(Task!$A$5:$A$404,$A11,Task!$C$5:$C$404,H$3,Task!$K$5:$K$404,"Không áp dụng"))=0,"–",IF(COUNTIFS(Task!$A$5:$A$404,$A11,Task!$C$5:$C$404,H$3,Task!$K$5:$K$404,"Hoàn thành")=(COUNTIFS(Task!$A$5:$A$404,$A11,Task!$C$5:$C$404,H$3)-COUNTIFS(Task!$A$5:$A$404,$A11,Task!$C$5:$C$404,H$3,Task!$K$5:$K$404,"Không áp dụng")),"Xong",IF(COUNTIFS(Task!$A$5:$A$404,$A11,Task!$C$5:$C$404,H$3,Task!$K$5:$K$404,"Bị chặn")&gt;0,"Bị chặn",IF(COUNTIFS(Task!$A$5:$A$404,$A11,Task!$C$5:$C$404,H$3,Task!$K$5:$K$404,"Hoàn thành")+COUNTIFS(Task!$A$5:$A$404,$A11,Task!$C$5:$C$404,H$3,Task!$K$5:$K$404,"Đang làm")&gt;0,"Đang làm","Chưa")))))</f>
        <v/>
      </c>
      <c r="I11" s="14" t="str">
        <f aca="false">IF($A11="","",IF((COUNTIFS(Task!$A$5:$A$404,$A11,Task!$C$5:$C$404,I$3)-COUNTIFS(Task!$A$5:$A$404,$A11,Task!$C$5:$C$404,I$3,Task!$K$5:$K$404,"Không áp dụng"))=0,"–",IF(COUNTIFS(Task!$A$5:$A$404,$A11,Task!$C$5:$C$404,I$3,Task!$K$5:$K$404,"Hoàn thành")=(COUNTIFS(Task!$A$5:$A$404,$A11,Task!$C$5:$C$404,I$3)-COUNTIFS(Task!$A$5:$A$404,$A11,Task!$C$5:$C$404,I$3,Task!$K$5:$K$404,"Không áp dụng")),"Xong",IF(COUNTIFS(Task!$A$5:$A$404,$A11,Task!$C$5:$C$404,I$3,Task!$K$5:$K$404,"Bị chặn")&gt;0,"Bị chặn",IF(COUNTIFS(Task!$A$5:$A$404,$A11,Task!$C$5:$C$404,I$3,Task!$K$5:$K$404,"Hoàn thành")+COUNTIFS(Task!$A$5:$A$404,$A11,Task!$C$5:$C$404,I$3,Task!$K$5:$K$404,"Đang làm")&gt;0,"Đang làm","Chưa")))))</f>
        <v/>
      </c>
      <c r="J11" s="14" t="str">
        <f aca="false">IF($A11="","",IF((COUNTIFS(Task!$A$5:$A$404,$A11,Task!$C$5:$C$404,J$3)-COUNTIFS(Task!$A$5:$A$404,$A11,Task!$C$5:$C$404,J$3,Task!$K$5:$K$404,"Không áp dụng"))=0,"–",IF(COUNTIFS(Task!$A$5:$A$404,$A11,Task!$C$5:$C$404,J$3,Task!$K$5:$K$404,"Hoàn thành")=(COUNTIFS(Task!$A$5:$A$404,$A11,Task!$C$5:$C$404,J$3)-COUNTIFS(Task!$A$5:$A$404,$A11,Task!$C$5:$C$404,J$3,Task!$K$5:$K$404,"Không áp dụng")),"Xong",IF(COUNTIFS(Task!$A$5:$A$404,$A11,Task!$C$5:$C$404,J$3,Task!$K$5:$K$404,"Bị chặn")&gt;0,"Bị chặn",IF(COUNTIFS(Task!$A$5:$A$404,$A11,Task!$C$5:$C$404,J$3,Task!$K$5:$K$404,"Hoàn thành")+COUNTIFS(Task!$A$5:$A$404,$A11,Task!$C$5:$C$404,J$3,Task!$K$5:$K$404,"Đang làm")&gt;0,"Đang làm","Chưa")))))</f>
        <v/>
      </c>
      <c r="K11" s="14" t="str">
        <f aca="false">IF($A11="","",IF((COUNTIFS(Task!$A$5:$A$404,$A11,Task!$C$5:$C$404,K$3)-COUNTIFS(Task!$A$5:$A$404,$A11,Task!$C$5:$C$404,K$3,Task!$K$5:$K$404,"Không áp dụng"))=0,"–",IF(COUNTIFS(Task!$A$5:$A$404,$A11,Task!$C$5:$C$404,K$3,Task!$K$5:$K$404,"Hoàn thành")=(COUNTIFS(Task!$A$5:$A$404,$A11,Task!$C$5:$C$404,K$3)-COUNTIFS(Task!$A$5:$A$404,$A11,Task!$C$5:$C$404,K$3,Task!$K$5:$K$404,"Không áp dụng")),"Xong",IF(COUNTIFS(Task!$A$5:$A$404,$A11,Task!$C$5:$C$404,K$3,Task!$K$5:$K$404,"Bị chặn")&gt;0,"Bị chặn",IF(COUNTIFS(Task!$A$5:$A$404,$A11,Task!$C$5:$C$404,K$3,Task!$K$5:$K$404,"Hoàn thành")+COUNTIFS(Task!$A$5:$A$404,$A11,Task!$C$5:$C$404,K$3,Task!$K$5:$K$404,"Đang làm")&gt;0,"Đang làm","Chưa")))))</f>
        <v/>
      </c>
      <c r="L11" s="14" t="str">
        <f aca="false">IF($A11="","",IF((COUNTIFS(Task!$A$5:$A$404,$A11,Task!$C$5:$C$404,L$3)-COUNTIFS(Task!$A$5:$A$404,$A11,Task!$C$5:$C$404,L$3,Task!$K$5:$K$404,"Không áp dụng"))=0,"–",IF(COUNTIFS(Task!$A$5:$A$404,$A11,Task!$C$5:$C$404,L$3,Task!$K$5:$K$404,"Hoàn thành")=(COUNTIFS(Task!$A$5:$A$404,$A11,Task!$C$5:$C$404,L$3)-COUNTIFS(Task!$A$5:$A$404,$A11,Task!$C$5:$C$404,L$3,Task!$K$5:$K$404,"Không áp dụng")),"Xong",IF(COUNTIFS(Task!$A$5:$A$404,$A11,Task!$C$5:$C$404,L$3,Task!$K$5:$K$404,"Bị chặn")&gt;0,"Bị chặn",IF(COUNTIFS(Task!$A$5:$A$404,$A11,Task!$C$5:$C$404,L$3,Task!$K$5:$K$404,"Hoàn thành")+COUNTIFS(Task!$A$5:$A$404,$A11,Task!$C$5:$C$404,L$3,Task!$K$5:$K$404,"Đang làm")&gt;0,"Đang làm","Chưa")))))</f>
        <v/>
      </c>
      <c r="M11" s="14" t="str">
        <f aca="false">IF($A11="","",IF((COUNTIFS(Task!$A$5:$A$404,$A11,Task!$C$5:$C$404,M$3)-COUNTIFS(Task!$A$5:$A$404,$A11,Task!$C$5:$C$404,M$3,Task!$K$5:$K$404,"Không áp dụng"))=0,"–",IF(COUNTIFS(Task!$A$5:$A$404,$A11,Task!$C$5:$C$404,M$3,Task!$K$5:$K$404,"Hoàn thành")=(COUNTIFS(Task!$A$5:$A$404,$A11,Task!$C$5:$C$404,M$3)-COUNTIFS(Task!$A$5:$A$404,$A11,Task!$C$5:$C$404,M$3,Task!$K$5:$K$404,"Không áp dụng")),"Xong",IF(COUNTIFS(Task!$A$5:$A$404,$A11,Task!$C$5:$C$404,M$3,Task!$K$5:$K$404,"Bị chặn")&gt;0,"Bị chặn",IF(COUNTIFS(Task!$A$5:$A$404,$A11,Task!$C$5:$C$404,M$3,Task!$K$5:$K$404,"Hoàn thành")+COUNTIFS(Task!$A$5:$A$404,$A11,Task!$C$5:$C$404,M$3,Task!$K$5:$K$404,"Đang làm")&gt;0,"Đang làm","Chưa")))))</f>
        <v/>
      </c>
      <c r="N11" s="14" t="str">
        <f aca="false">IF($A11="","",IF(F11&lt;&gt;"Xong",1,IF(G11&lt;&gt;"Xong",2,IF(H11&lt;&gt;"Xong",3,IF(I11&lt;&gt;"Xong",4,IF(J11&lt;&gt;"Xong",5,IF(K11&lt;&gt;"Xong",6,IF(L11&lt;&gt;"Xong",7,IF(M11&lt;&gt;"Xong",8,9)))))))))</f>
        <v/>
      </c>
      <c r="O11" s="14" t="str">
        <f aca="false">IF($A11="","",IF($N11=9,"Hoàn tất",INDEX('Quy trình'!$B$5:$B$12,$N11)))</f>
        <v/>
      </c>
      <c r="P11" s="14" t="str">
        <f aca="false">IF($A11="","",COUNTIFS(Task!$A$5:$A$404,$A11)-COUNTIFS(Task!$A$5:$A$404,$A11,Task!$K$5:$K$404,"Không áp dụng"))</f>
        <v/>
      </c>
      <c r="Q11" s="14" t="str">
        <f aca="false">IF($A11="","",COUNTIFS(Task!$A$5:$A$404,$A11,Task!$K$5:$K$404,"Hoàn thành"))</f>
        <v/>
      </c>
      <c r="R11" s="16" t="str">
        <f aca="false">IF($A11="","",Q11/MAX(P11,COUNTA('Mẫu task'!$A$5:$A$64)))</f>
        <v/>
      </c>
      <c r="S11" s="14" t="str">
        <f aca="false">IF($A11="","",SUMIFS(Task!$O$5:$O$404,Task!$A$5:$A$404,$A11))</f>
        <v/>
      </c>
      <c r="T11" s="14" t="str">
        <f aca="false">IF($A11="","",COUNTIFS(Task!$A$5:$A$404,$A11,Task!$K$5:$K$404,"Bị chặn"))</f>
        <v/>
      </c>
      <c r="U11" s="14" t="str">
        <f aca="false">IF($A11="","",IF(P11=0,"Chưa có task",IF(T11&gt;0,"Bị chặn",IF(S11&gt;0,"Có việc trễ",IF(N11=9,"Hoàn tất","Đúng tiến độ")))))</f>
        <v/>
      </c>
      <c r="V11" s="14" t="str">
        <f aca="false">IF($A11="","",IFERROR(INDEX('Chấm điểm'!$D$16:$M$16,MATCH($A11,'Chấm điểm'!$D$4:$M$4,0)),""))</f>
        <v/>
      </c>
    </row>
    <row r="12" customFormat="false" ht="15" hidden="false" customHeight="false" outlineLevel="0" collapsed="false">
      <c r="A12" s="19"/>
      <c r="B12" s="19"/>
      <c r="C12" s="19"/>
      <c r="D12" s="19"/>
      <c r="E12" s="20"/>
      <c r="F12" s="14" t="str">
        <f aca="false">IF($A12="","",IF((COUNTIFS(Task!$A$5:$A$404,$A12,Task!$C$5:$C$404,F$3)-COUNTIFS(Task!$A$5:$A$404,$A12,Task!$C$5:$C$404,F$3,Task!$K$5:$K$404,"Không áp dụng"))=0,"–",IF(COUNTIFS(Task!$A$5:$A$404,$A12,Task!$C$5:$C$404,F$3,Task!$K$5:$K$404,"Hoàn thành")=(COUNTIFS(Task!$A$5:$A$404,$A12,Task!$C$5:$C$404,F$3)-COUNTIFS(Task!$A$5:$A$404,$A12,Task!$C$5:$C$404,F$3,Task!$K$5:$K$404,"Không áp dụng")),"Xong",IF(COUNTIFS(Task!$A$5:$A$404,$A12,Task!$C$5:$C$404,F$3,Task!$K$5:$K$404,"Bị chặn")&gt;0,"Bị chặn",IF(COUNTIFS(Task!$A$5:$A$404,$A12,Task!$C$5:$C$404,F$3,Task!$K$5:$K$404,"Hoàn thành")+COUNTIFS(Task!$A$5:$A$404,$A12,Task!$C$5:$C$404,F$3,Task!$K$5:$K$404,"Đang làm")&gt;0,"Đang làm","Chưa")))))</f>
        <v/>
      </c>
      <c r="G12" s="14" t="str">
        <f aca="false">IF($A12="","",IF((COUNTIFS(Task!$A$5:$A$404,$A12,Task!$C$5:$C$404,G$3)-COUNTIFS(Task!$A$5:$A$404,$A12,Task!$C$5:$C$404,G$3,Task!$K$5:$K$404,"Không áp dụng"))=0,"–",IF(COUNTIFS(Task!$A$5:$A$404,$A12,Task!$C$5:$C$404,G$3,Task!$K$5:$K$404,"Hoàn thành")=(COUNTIFS(Task!$A$5:$A$404,$A12,Task!$C$5:$C$404,G$3)-COUNTIFS(Task!$A$5:$A$404,$A12,Task!$C$5:$C$404,G$3,Task!$K$5:$K$404,"Không áp dụng")),"Xong",IF(COUNTIFS(Task!$A$5:$A$404,$A12,Task!$C$5:$C$404,G$3,Task!$K$5:$K$404,"Bị chặn")&gt;0,"Bị chặn",IF(COUNTIFS(Task!$A$5:$A$404,$A12,Task!$C$5:$C$404,G$3,Task!$K$5:$K$404,"Hoàn thành")+COUNTIFS(Task!$A$5:$A$404,$A12,Task!$C$5:$C$404,G$3,Task!$K$5:$K$404,"Đang làm")&gt;0,"Đang làm","Chưa")))))</f>
        <v/>
      </c>
      <c r="H12" s="14" t="str">
        <f aca="false">IF($A12="","",IF((COUNTIFS(Task!$A$5:$A$404,$A12,Task!$C$5:$C$404,H$3)-COUNTIFS(Task!$A$5:$A$404,$A12,Task!$C$5:$C$404,H$3,Task!$K$5:$K$404,"Không áp dụng"))=0,"–",IF(COUNTIFS(Task!$A$5:$A$404,$A12,Task!$C$5:$C$404,H$3,Task!$K$5:$K$404,"Hoàn thành")=(COUNTIFS(Task!$A$5:$A$404,$A12,Task!$C$5:$C$404,H$3)-COUNTIFS(Task!$A$5:$A$404,$A12,Task!$C$5:$C$404,H$3,Task!$K$5:$K$404,"Không áp dụng")),"Xong",IF(COUNTIFS(Task!$A$5:$A$404,$A12,Task!$C$5:$C$404,H$3,Task!$K$5:$K$404,"Bị chặn")&gt;0,"Bị chặn",IF(COUNTIFS(Task!$A$5:$A$404,$A12,Task!$C$5:$C$404,H$3,Task!$K$5:$K$404,"Hoàn thành")+COUNTIFS(Task!$A$5:$A$404,$A12,Task!$C$5:$C$404,H$3,Task!$K$5:$K$404,"Đang làm")&gt;0,"Đang làm","Chưa")))))</f>
        <v/>
      </c>
      <c r="I12" s="14" t="str">
        <f aca="false">IF($A12="","",IF((COUNTIFS(Task!$A$5:$A$404,$A12,Task!$C$5:$C$404,I$3)-COUNTIFS(Task!$A$5:$A$404,$A12,Task!$C$5:$C$404,I$3,Task!$K$5:$K$404,"Không áp dụng"))=0,"–",IF(COUNTIFS(Task!$A$5:$A$404,$A12,Task!$C$5:$C$404,I$3,Task!$K$5:$K$404,"Hoàn thành")=(COUNTIFS(Task!$A$5:$A$404,$A12,Task!$C$5:$C$404,I$3)-COUNTIFS(Task!$A$5:$A$404,$A12,Task!$C$5:$C$404,I$3,Task!$K$5:$K$404,"Không áp dụng")),"Xong",IF(COUNTIFS(Task!$A$5:$A$404,$A12,Task!$C$5:$C$404,I$3,Task!$K$5:$K$404,"Bị chặn")&gt;0,"Bị chặn",IF(COUNTIFS(Task!$A$5:$A$404,$A12,Task!$C$5:$C$404,I$3,Task!$K$5:$K$404,"Hoàn thành")+COUNTIFS(Task!$A$5:$A$404,$A12,Task!$C$5:$C$404,I$3,Task!$K$5:$K$404,"Đang làm")&gt;0,"Đang làm","Chưa")))))</f>
        <v/>
      </c>
      <c r="J12" s="14" t="str">
        <f aca="false">IF($A12="","",IF((COUNTIFS(Task!$A$5:$A$404,$A12,Task!$C$5:$C$404,J$3)-COUNTIFS(Task!$A$5:$A$404,$A12,Task!$C$5:$C$404,J$3,Task!$K$5:$K$404,"Không áp dụng"))=0,"–",IF(COUNTIFS(Task!$A$5:$A$404,$A12,Task!$C$5:$C$404,J$3,Task!$K$5:$K$404,"Hoàn thành")=(COUNTIFS(Task!$A$5:$A$404,$A12,Task!$C$5:$C$404,J$3)-COUNTIFS(Task!$A$5:$A$404,$A12,Task!$C$5:$C$404,J$3,Task!$K$5:$K$404,"Không áp dụng")),"Xong",IF(COUNTIFS(Task!$A$5:$A$404,$A12,Task!$C$5:$C$404,J$3,Task!$K$5:$K$404,"Bị chặn")&gt;0,"Bị chặn",IF(COUNTIFS(Task!$A$5:$A$404,$A12,Task!$C$5:$C$404,J$3,Task!$K$5:$K$404,"Hoàn thành")+COUNTIFS(Task!$A$5:$A$404,$A12,Task!$C$5:$C$404,J$3,Task!$K$5:$K$404,"Đang làm")&gt;0,"Đang làm","Chưa")))))</f>
        <v/>
      </c>
      <c r="K12" s="14" t="str">
        <f aca="false">IF($A12="","",IF((COUNTIFS(Task!$A$5:$A$404,$A12,Task!$C$5:$C$404,K$3)-COUNTIFS(Task!$A$5:$A$404,$A12,Task!$C$5:$C$404,K$3,Task!$K$5:$K$404,"Không áp dụng"))=0,"–",IF(COUNTIFS(Task!$A$5:$A$404,$A12,Task!$C$5:$C$404,K$3,Task!$K$5:$K$404,"Hoàn thành")=(COUNTIFS(Task!$A$5:$A$404,$A12,Task!$C$5:$C$404,K$3)-COUNTIFS(Task!$A$5:$A$404,$A12,Task!$C$5:$C$404,K$3,Task!$K$5:$K$404,"Không áp dụng")),"Xong",IF(COUNTIFS(Task!$A$5:$A$404,$A12,Task!$C$5:$C$404,K$3,Task!$K$5:$K$404,"Bị chặn")&gt;0,"Bị chặn",IF(COUNTIFS(Task!$A$5:$A$404,$A12,Task!$C$5:$C$404,K$3,Task!$K$5:$K$404,"Hoàn thành")+COUNTIFS(Task!$A$5:$A$404,$A12,Task!$C$5:$C$404,K$3,Task!$K$5:$K$404,"Đang làm")&gt;0,"Đang làm","Chưa")))))</f>
        <v/>
      </c>
      <c r="L12" s="14" t="str">
        <f aca="false">IF($A12="","",IF((COUNTIFS(Task!$A$5:$A$404,$A12,Task!$C$5:$C$404,L$3)-COUNTIFS(Task!$A$5:$A$404,$A12,Task!$C$5:$C$404,L$3,Task!$K$5:$K$404,"Không áp dụng"))=0,"–",IF(COUNTIFS(Task!$A$5:$A$404,$A12,Task!$C$5:$C$404,L$3,Task!$K$5:$K$404,"Hoàn thành")=(COUNTIFS(Task!$A$5:$A$404,$A12,Task!$C$5:$C$404,L$3)-COUNTIFS(Task!$A$5:$A$404,$A12,Task!$C$5:$C$404,L$3,Task!$K$5:$K$404,"Không áp dụng")),"Xong",IF(COUNTIFS(Task!$A$5:$A$404,$A12,Task!$C$5:$C$404,L$3,Task!$K$5:$K$404,"Bị chặn")&gt;0,"Bị chặn",IF(COUNTIFS(Task!$A$5:$A$404,$A12,Task!$C$5:$C$404,L$3,Task!$K$5:$K$404,"Hoàn thành")+COUNTIFS(Task!$A$5:$A$404,$A12,Task!$C$5:$C$404,L$3,Task!$K$5:$K$404,"Đang làm")&gt;0,"Đang làm","Chưa")))))</f>
        <v/>
      </c>
      <c r="M12" s="14" t="str">
        <f aca="false">IF($A12="","",IF((COUNTIFS(Task!$A$5:$A$404,$A12,Task!$C$5:$C$404,M$3)-COUNTIFS(Task!$A$5:$A$404,$A12,Task!$C$5:$C$404,M$3,Task!$K$5:$K$404,"Không áp dụng"))=0,"–",IF(COUNTIFS(Task!$A$5:$A$404,$A12,Task!$C$5:$C$404,M$3,Task!$K$5:$K$404,"Hoàn thành")=(COUNTIFS(Task!$A$5:$A$404,$A12,Task!$C$5:$C$404,M$3)-COUNTIFS(Task!$A$5:$A$404,$A12,Task!$C$5:$C$404,M$3,Task!$K$5:$K$404,"Không áp dụng")),"Xong",IF(COUNTIFS(Task!$A$5:$A$404,$A12,Task!$C$5:$C$404,M$3,Task!$K$5:$K$404,"Bị chặn")&gt;0,"Bị chặn",IF(COUNTIFS(Task!$A$5:$A$404,$A12,Task!$C$5:$C$404,M$3,Task!$K$5:$K$404,"Hoàn thành")+COUNTIFS(Task!$A$5:$A$404,$A12,Task!$C$5:$C$404,M$3,Task!$K$5:$K$404,"Đang làm")&gt;0,"Đang làm","Chưa")))))</f>
        <v/>
      </c>
      <c r="N12" s="14" t="str">
        <f aca="false">IF($A12="","",IF(F12&lt;&gt;"Xong",1,IF(G12&lt;&gt;"Xong",2,IF(H12&lt;&gt;"Xong",3,IF(I12&lt;&gt;"Xong",4,IF(J12&lt;&gt;"Xong",5,IF(K12&lt;&gt;"Xong",6,IF(L12&lt;&gt;"Xong",7,IF(M12&lt;&gt;"Xong",8,9)))))))))</f>
        <v/>
      </c>
      <c r="O12" s="14" t="str">
        <f aca="false">IF($A12="","",IF($N12=9,"Hoàn tất",INDEX('Quy trình'!$B$5:$B$12,$N12)))</f>
        <v/>
      </c>
      <c r="P12" s="14" t="str">
        <f aca="false">IF($A12="","",COUNTIFS(Task!$A$5:$A$404,$A12)-COUNTIFS(Task!$A$5:$A$404,$A12,Task!$K$5:$K$404,"Không áp dụng"))</f>
        <v/>
      </c>
      <c r="Q12" s="14" t="str">
        <f aca="false">IF($A12="","",COUNTIFS(Task!$A$5:$A$404,$A12,Task!$K$5:$K$404,"Hoàn thành"))</f>
        <v/>
      </c>
      <c r="R12" s="16" t="str">
        <f aca="false">IF($A12="","",Q12/MAX(P12,COUNTA('Mẫu task'!$A$5:$A$64)))</f>
        <v/>
      </c>
      <c r="S12" s="14" t="str">
        <f aca="false">IF($A12="","",SUMIFS(Task!$O$5:$O$404,Task!$A$5:$A$404,$A12))</f>
        <v/>
      </c>
      <c r="T12" s="14" t="str">
        <f aca="false">IF($A12="","",COUNTIFS(Task!$A$5:$A$404,$A12,Task!$K$5:$K$404,"Bị chặn"))</f>
        <v/>
      </c>
      <c r="U12" s="14" t="str">
        <f aca="false">IF($A12="","",IF(P12=0,"Chưa có task",IF(T12&gt;0,"Bị chặn",IF(S12&gt;0,"Có việc trễ",IF(N12=9,"Hoàn tất","Đúng tiến độ")))))</f>
        <v/>
      </c>
      <c r="V12" s="14" t="str">
        <f aca="false">IF($A12="","",IFERROR(INDEX('Chấm điểm'!$D$16:$M$16,MATCH($A12,'Chấm điểm'!$D$4:$M$4,0)),""))</f>
        <v/>
      </c>
    </row>
    <row r="13" customFormat="false" ht="15" hidden="false" customHeight="false" outlineLevel="0" collapsed="false">
      <c r="A13" s="19"/>
      <c r="B13" s="19"/>
      <c r="C13" s="19"/>
      <c r="D13" s="19"/>
      <c r="E13" s="20"/>
      <c r="F13" s="14" t="str">
        <f aca="false">IF($A13="","",IF((COUNTIFS(Task!$A$5:$A$404,$A13,Task!$C$5:$C$404,F$3)-COUNTIFS(Task!$A$5:$A$404,$A13,Task!$C$5:$C$404,F$3,Task!$K$5:$K$404,"Không áp dụng"))=0,"–",IF(COUNTIFS(Task!$A$5:$A$404,$A13,Task!$C$5:$C$404,F$3,Task!$K$5:$K$404,"Hoàn thành")=(COUNTIFS(Task!$A$5:$A$404,$A13,Task!$C$5:$C$404,F$3)-COUNTIFS(Task!$A$5:$A$404,$A13,Task!$C$5:$C$404,F$3,Task!$K$5:$K$404,"Không áp dụng")),"Xong",IF(COUNTIFS(Task!$A$5:$A$404,$A13,Task!$C$5:$C$404,F$3,Task!$K$5:$K$404,"Bị chặn")&gt;0,"Bị chặn",IF(COUNTIFS(Task!$A$5:$A$404,$A13,Task!$C$5:$C$404,F$3,Task!$K$5:$K$404,"Hoàn thành")+COUNTIFS(Task!$A$5:$A$404,$A13,Task!$C$5:$C$404,F$3,Task!$K$5:$K$404,"Đang làm")&gt;0,"Đang làm","Chưa")))))</f>
        <v/>
      </c>
      <c r="G13" s="14" t="str">
        <f aca="false">IF($A13="","",IF((COUNTIFS(Task!$A$5:$A$404,$A13,Task!$C$5:$C$404,G$3)-COUNTIFS(Task!$A$5:$A$404,$A13,Task!$C$5:$C$404,G$3,Task!$K$5:$K$404,"Không áp dụng"))=0,"–",IF(COUNTIFS(Task!$A$5:$A$404,$A13,Task!$C$5:$C$404,G$3,Task!$K$5:$K$404,"Hoàn thành")=(COUNTIFS(Task!$A$5:$A$404,$A13,Task!$C$5:$C$404,G$3)-COUNTIFS(Task!$A$5:$A$404,$A13,Task!$C$5:$C$404,G$3,Task!$K$5:$K$404,"Không áp dụng")),"Xong",IF(COUNTIFS(Task!$A$5:$A$404,$A13,Task!$C$5:$C$404,G$3,Task!$K$5:$K$404,"Bị chặn")&gt;0,"Bị chặn",IF(COUNTIFS(Task!$A$5:$A$404,$A13,Task!$C$5:$C$404,G$3,Task!$K$5:$K$404,"Hoàn thành")+COUNTIFS(Task!$A$5:$A$404,$A13,Task!$C$5:$C$404,G$3,Task!$K$5:$K$404,"Đang làm")&gt;0,"Đang làm","Chưa")))))</f>
        <v/>
      </c>
      <c r="H13" s="14" t="str">
        <f aca="false">IF($A13="","",IF((COUNTIFS(Task!$A$5:$A$404,$A13,Task!$C$5:$C$404,H$3)-COUNTIFS(Task!$A$5:$A$404,$A13,Task!$C$5:$C$404,H$3,Task!$K$5:$K$404,"Không áp dụng"))=0,"–",IF(COUNTIFS(Task!$A$5:$A$404,$A13,Task!$C$5:$C$404,H$3,Task!$K$5:$K$404,"Hoàn thành")=(COUNTIFS(Task!$A$5:$A$404,$A13,Task!$C$5:$C$404,H$3)-COUNTIFS(Task!$A$5:$A$404,$A13,Task!$C$5:$C$404,H$3,Task!$K$5:$K$404,"Không áp dụng")),"Xong",IF(COUNTIFS(Task!$A$5:$A$404,$A13,Task!$C$5:$C$404,H$3,Task!$K$5:$K$404,"Bị chặn")&gt;0,"Bị chặn",IF(COUNTIFS(Task!$A$5:$A$404,$A13,Task!$C$5:$C$404,H$3,Task!$K$5:$K$404,"Hoàn thành")+COUNTIFS(Task!$A$5:$A$404,$A13,Task!$C$5:$C$404,H$3,Task!$K$5:$K$404,"Đang làm")&gt;0,"Đang làm","Chưa")))))</f>
        <v/>
      </c>
      <c r="I13" s="14" t="str">
        <f aca="false">IF($A13="","",IF((COUNTIFS(Task!$A$5:$A$404,$A13,Task!$C$5:$C$404,I$3)-COUNTIFS(Task!$A$5:$A$404,$A13,Task!$C$5:$C$404,I$3,Task!$K$5:$K$404,"Không áp dụng"))=0,"–",IF(COUNTIFS(Task!$A$5:$A$404,$A13,Task!$C$5:$C$404,I$3,Task!$K$5:$K$404,"Hoàn thành")=(COUNTIFS(Task!$A$5:$A$404,$A13,Task!$C$5:$C$404,I$3)-COUNTIFS(Task!$A$5:$A$404,$A13,Task!$C$5:$C$404,I$3,Task!$K$5:$K$404,"Không áp dụng")),"Xong",IF(COUNTIFS(Task!$A$5:$A$404,$A13,Task!$C$5:$C$404,I$3,Task!$K$5:$K$404,"Bị chặn")&gt;0,"Bị chặn",IF(COUNTIFS(Task!$A$5:$A$404,$A13,Task!$C$5:$C$404,I$3,Task!$K$5:$K$404,"Hoàn thành")+COUNTIFS(Task!$A$5:$A$404,$A13,Task!$C$5:$C$404,I$3,Task!$K$5:$K$404,"Đang làm")&gt;0,"Đang làm","Chưa")))))</f>
        <v/>
      </c>
      <c r="J13" s="14" t="str">
        <f aca="false">IF($A13="","",IF((COUNTIFS(Task!$A$5:$A$404,$A13,Task!$C$5:$C$404,J$3)-COUNTIFS(Task!$A$5:$A$404,$A13,Task!$C$5:$C$404,J$3,Task!$K$5:$K$404,"Không áp dụng"))=0,"–",IF(COUNTIFS(Task!$A$5:$A$404,$A13,Task!$C$5:$C$404,J$3,Task!$K$5:$K$404,"Hoàn thành")=(COUNTIFS(Task!$A$5:$A$404,$A13,Task!$C$5:$C$404,J$3)-COUNTIFS(Task!$A$5:$A$404,$A13,Task!$C$5:$C$404,J$3,Task!$K$5:$K$404,"Không áp dụng")),"Xong",IF(COUNTIFS(Task!$A$5:$A$404,$A13,Task!$C$5:$C$404,J$3,Task!$K$5:$K$404,"Bị chặn")&gt;0,"Bị chặn",IF(COUNTIFS(Task!$A$5:$A$404,$A13,Task!$C$5:$C$404,J$3,Task!$K$5:$K$404,"Hoàn thành")+COUNTIFS(Task!$A$5:$A$404,$A13,Task!$C$5:$C$404,J$3,Task!$K$5:$K$404,"Đang làm")&gt;0,"Đang làm","Chưa")))))</f>
        <v/>
      </c>
      <c r="K13" s="14" t="str">
        <f aca="false">IF($A13="","",IF((COUNTIFS(Task!$A$5:$A$404,$A13,Task!$C$5:$C$404,K$3)-COUNTIFS(Task!$A$5:$A$404,$A13,Task!$C$5:$C$404,K$3,Task!$K$5:$K$404,"Không áp dụng"))=0,"–",IF(COUNTIFS(Task!$A$5:$A$404,$A13,Task!$C$5:$C$404,K$3,Task!$K$5:$K$404,"Hoàn thành")=(COUNTIFS(Task!$A$5:$A$404,$A13,Task!$C$5:$C$404,K$3)-COUNTIFS(Task!$A$5:$A$404,$A13,Task!$C$5:$C$404,K$3,Task!$K$5:$K$404,"Không áp dụng")),"Xong",IF(COUNTIFS(Task!$A$5:$A$404,$A13,Task!$C$5:$C$404,K$3,Task!$K$5:$K$404,"Bị chặn")&gt;0,"Bị chặn",IF(COUNTIFS(Task!$A$5:$A$404,$A13,Task!$C$5:$C$404,K$3,Task!$K$5:$K$404,"Hoàn thành")+COUNTIFS(Task!$A$5:$A$404,$A13,Task!$C$5:$C$404,K$3,Task!$K$5:$K$404,"Đang làm")&gt;0,"Đang làm","Chưa")))))</f>
        <v/>
      </c>
      <c r="L13" s="14" t="str">
        <f aca="false">IF($A13="","",IF((COUNTIFS(Task!$A$5:$A$404,$A13,Task!$C$5:$C$404,L$3)-COUNTIFS(Task!$A$5:$A$404,$A13,Task!$C$5:$C$404,L$3,Task!$K$5:$K$404,"Không áp dụng"))=0,"–",IF(COUNTIFS(Task!$A$5:$A$404,$A13,Task!$C$5:$C$404,L$3,Task!$K$5:$K$404,"Hoàn thành")=(COUNTIFS(Task!$A$5:$A$404,$A13,Task!$C$5:$C$404,L$3)-COUNTIFS(Task!$A$5:$A$404,$A13,Task!$C$5:$C$404,L$3,Task!$K$5:$K$404,"Không áp dụng")),"Xong",IF(COUNTIFS(Task!$A$5:$A$404,$A13,Task!$C$5:$C$404,L$3,Task!$K$5:$K$404,"Bị chặn")&gt;0,"Bị chặn",IF(COUNTIFS(Task!$A$5:$A$404,$A13,Task!$C$5:$C$404,L$3,Task!$K$5:$K$404,"Hoàn thành")+COUNTIFS(Task!$A$5:$A$404,$A13,Task!$C$5:$C$404,L$3,Task!$K$5:$K$404,"Đang làm")&gt;0,"Đang làm","Chưa")))))</f>
        <v/>
      </c>
      <c r="M13" s="14" t="str">
        <f aca="false">IF($A13="","",IF((COUNTIFS(Task!$A$5:$A$404,$A13,Task!$C$5:$C$404,M$3)-COUNTIFS(Task!$A$5:$A$404,$A13,Task!$C$5:$C$404,M$3,Task!$K$5:$K$404,"Không áp dụng"))=0,"–",IF(COUNTIFS(Task!$A$5:$A$404,$A13,Task!$C$5:$C$404,M$3,Task!$K$5:$K$404,"Hoàn thành")=(COUNTIFS(Task!$A$5:$A$404,$A13,Task!$C$5:$C$404,M$3)-COUNTIFS(Task!$A$5:$A$404,$A13,Task!$C$5:$C$404,M$3,Task!$K$5:$K$404,"Không áp dụng")),"Xong",IF(COUNTIFS(Task!$A$5:$A$404,$A13,Task!$C$5:$C$404,M$3,Task!$K$5:$K$404,"Bị chặn")&gt;0,"Bị chặn",IF(COUNTIFS(Task!$A$5:$A$404,$A13,Task!$C$5:$C$404,M$3,Task!$K$5:$K$404,"Hoàn thành")+COUNTIFS(Task!$A$5:$A$404,$A13,Task!$C$5:$C$404,M$3,Task!$K$5:$K$404,"Đang làm")&gt;0,"Đang làm","Chưa")))))</f>
        <v/>
      </c>
      <c r="N13" s="14" t="str">
        <f aca="false">IF($A13="","",IF(F13&lt;&gt;"Xong",1,IF(G13&lt;&gt;"Xong",2,IF(H13&lt;&gt;"Xong",3,IF(I13&lt;&gt;"Xong",4,IF(J13&lt;&gt;"Xong",5,IF(K13&lt;&gt;"Xong",6,IF(L13&lt;&gt;"Xong",7,IF(M13&lt;&gt;"Xong",8,9)))))))))</f>
        <v/>
      </c>
      <c r="O13" s="14" t="str">
        <f aca="false">IF($A13="","",IF($N13=9,"Hoàn tất",INDEX('Quy trình'!$B$5:$B$12,$N13)))</f>
        <v/>
      </c>
      <c r="P13" s="14" t="str">
        <f aca="false">IF($A13="","",COUNTIFS(Task!$A$5:$A$404,$A13)-COUNTIFS(Task!$A$5:$A$404,$A13,Task!$K$5:$K$404,"Không áp dụng"))</f>
        <v/>
      </c>
      <c r="Q13" s="14" t="str">
        <f aca="false">IF($A13="","",COUNTIFS(Task!$A$5:$A$404,$A13,Task!$K$5:$K$404,"Hoàn thành"))</f>
        <v/>
      </c>
      <c r="R13" s="16" t="str">
        <f aca="false">IF($A13="","",Q13/MAX(P13,COUNTA('Mẫu task'!$A$5:$A$64)))</f>
        <v/>
      </c>
      <c r="S13" s="14" t="str">
        <f aca="false">IF($A13="","",SUMIFS(Task!$O$5:$O$404,Task!$A$5:$A$404,$A13))</f>
        <v/>
      </c>
      <c r="T13" s="14" t="str">
        <f aca="false">IF($A13="","",COUNTIFS(Task!$A$5:$A$404,$A13,Task!$K$5:$K$404,"Bị chặn"))</f>
        <v/>
      </c>
      <c r="U13" s="14" t="str">
        <f aca="false">IF($A13="","",IF(P13=0,"Chưa có task",IF(T13&gt;0,"Bị chặn",IF(S13&gt;0,"Có việc trễ",IF(N13=9,"Hoàn tất","Đúng tiến độ")))))</f>
        <v/>
      </c>
      <c r="V13" s="14" t="str">
        <f aca="false">IF($A13="","",IFERROR(INDEX('Chấm điểm'!$D$16:$M$16,MATCH($A13,'Chấm điểm'!$D$4:$M$4,0)),""))</f>
        <v/>
      </c>
    </row>
    <row r="14" customFormat="false" ht="15" hidden="false" customHeight="false" outlineLevel="0" collapsed="false">
      <c r="A14" s="19"/>
      <c r="B14" s="19"/>
      <c r="C14" s="19"/>
      <c r="D14" s="19"/>
      <c r="E14" s="20"/>
      <c r="F14" s="14" t="str">
        <f aca="false">IF($A14="","",IF((COUNTIFS(Task!$A$5:$A$404,$A14,Task!$C$5:$C$404,F$3)-COUNTIFS(Task!$A$5:$A$404,$A14,Task!$C$5:$C$404,F$3,Task!$K$5:$K$404,"Không áp dụng"))=0,"–",IF(COUNTIFS(Task!$A$5:$A$404,$A14,Task!$C$5:$C$404,F$3,Task!$K$5:$K$404,"Hoàn thành")=(COUNTIFS(Task!$A$5:$A$404,$A14,Task!$C$5:$C$404,F$3)-COUNTIFS(Task!$A$5:$A$404,$A14,Task!$C$5:$C$404,F$3,Task!$K$5:$K$404,"Không áp dụng")),"Xong",IF(COUNTIFS(Task!$A$5:$A$404,$A14,Task!$C$5:$C$404,F$3,Task!$K$5:$K$404,"Bị chặn")&gt;0,"Bị chặn",IF(COUNTIFS(Task!$A$5:$A$404,$A14,Task!$C$5:$C$404,F$3,Task!$K$5:$K$404,"Hoàn thành")+COUNTIFS(Task!$A$5:$A$404,$A14,Task!$C$5:$C$404,F$3,Task!$K$5:$K$404,"Đang làm")&gt;0,"Đang làm","Chưa")))))</f>
        <v/>
      </c>
      <c r="G14" s="14" t="str">
        <f aca="false">IF($A14="","",IF((COUNTIFS(Task!$A$5:$A$404,$A14,Task!$C$5:$C$404,G$3)-COUNTIFS(Task!$A$5:$A$404,$A14,Task!$C$5:$C$404,G$3,Task!$K$5:$K$404,"Không áp dụng"))=0,"–",IF(COUNTIFS(Task!$A$5:$A$404,$A14,Task!$C$5:$C$404,G$3,Task!$K$5:$K$404,"Hoàn thành")=(COUNTIFS(Task!$A$5:$A$404,$A14,Task!$C$5:$C$404,G$3)-COUNTIFS(Task!$A$5:$A$404,$A14,Task!$C$5:$C$404,G$3,Task!$K$5:$K$404,"Không áp dụng")),"Xong",IF(COUNTIFS(Task!$A$5:$A$404,$A14,Task!$C$5:$C$404,G$3,Task!$K$5:$K$404,"Bị chặn")&gt;0,"Bị chặn",IF(COUNTIFS(Task!$A$5:$A$404,$A14,Task!$C$5:$C$404,G$3,Task!$K$5:$K$404,"Hoàn thành")+COUNTIFS(Task!$A$5:$A$404,$A14,Task!$C$5:$C$404,G$3,Task!$K$5:$K$404,"Đang làm")&gt;0,"Đang làm","Chưa")))))</f>
        <v/>
      </c>
      <c r="H14" s="14" t="str">
        <f aca="false">IF($A14="","",IF((COUNTIFS(Task!$A$5:$A$404,$A14,Task!$C$5:$C$404,H$3)-COUNTIFS(Task!$A$5:$A$404,$A14,Task!$C$5:$C$404,H$3,Task!$K$5:$K$404,"Không áp dụng"))=0,"–",IF(COUNTIFS(Task!$A$5:$A$404,$A14,Task!$C$5:$C$404,H$3,Task!$K$5:$K$404,"Hoàn thành")=(COUNTIFS(Task!$A$5:$A$404,$A14,Task!$C$5:$C$404,H$3)-COUNTIFS(Task!$A$5:$A$404,$A14,Task!$C$5:$C$404,H$3,Task!$K$5:$K$404,"Không áp dụng")),"Xong",IF(COUNTIFS(Task!$A$5:$A$404,$A14,Task!$C$5:$C$404,H$3,Task!$K$5:$K$404,"Bị chặn")&gt;0,"Bị chặn",IF(COUNTIFS(Task!$A$5:$A$404,$A14,Task!$C$5:$C$404,H$3,Task!$K$5:$K$404,"Hoàn thành")+COUNTIFS(Task!$A$5:$A$404,$A14,Task!$C$5:$C$404,H$3,Task!$K$5:$K$404,"Đang làm")&gt;0,"Đang làm","Chưa")))))</f>
        <v/>
      </c>
      <c r="I14" s="14" t="str">
        <f aca="false">IF($A14="","",IF((COUNTIFS(Task!$A$5:$A$404,$A14,Task!$C$5:$C$404,I$3)-COUNTIFS(Task!$A$5:$A$404,$A14,Task!$C$5:$C$404,I$3,Task!$K$5:$K$404,"Không áp dụng"))=0,"–",IF(COUNTIFS(Task!$A$5:$A$404,$A14,Task!$C$5:$C$404,I$3,Task!$K$5:$K$404,"Hoàn thành")=(COUNTIFS(Task!$A$5:$A$404,$A14,Task!$C$5:$C$404,I$3)-COUNTIFS(Task!$A$5:$A$404,$A14,Task!$C$5:$C$404,I$3,Task!$K$5:$K$404,"Không áp dụng")),"Xong",IF(COUNTIFS(Task!$A$5:$A$404,$A14,Task!$C$5:$C$404,I$3,Task!$K$5:$K$404,"Bị chặn")&gt;0,"Bị chặn",IF(COUNTIFS(Task!$A$5:$A$404,$A14,Task!$C$5:$C$404,I$3,Task!$K$5:$K$404,"Hoàn thành")+COUNTIFS(Task!$A$5:$A$404,$A14,Task!$C$5:$C$404,I$3,Task!$K$5:$K$404,"Đang làm")&gt;0,"Đang làm","Chưa")))))</f>
        <v/>
      </c>
      <c r="J14" s="14" t="str">
        <f aca="false">IF($A14="","",IF((COUNTIFS(Task!$A$5:$A$404,$A14,Task!$C$5:$C$404,J$3)-COUNTIFS(Task!$A$5:$A$404,$A14,Task!$C$5:$C$404,J$3,Task!$K$5:$K$404,"Không áp dụng"))=0,"–",IF(COUNTIFS(Task!$A$5:$A$404,$A14,Task!$C$5:$C$404,J$3,Task!$K$5:$K$404,"Hoàn thành")=(COUNTIFS(Task!$A$5:$A$404,$A14,Task!$C$5:$C$404,J$3)-COUNTIFS(Task!$A$5:$A$404,$A14,Task!$C$5:$C$404,J$3,Task!$K$5:$K$404,"Không áp dụng")),"Xong",IF(COUNTIFS(Task!$A$5:$A$404,$A14,Task!$C$5:$C$404,J$3,Task!$K$5:$K$404,"Bị chặn")&gt;0,"Bị chặn",IF(COUNTIFS(Task!$A$5:$A$404,$A14,Task!$C$5:$C$404,J$3,Task!$K$5:$K$404,"Hoàn thành")+COUNTIFS(Task!$A$5:$A$404,$A14,Task!$C$5:$C$404,J$3,Task!$K$5:$K$404,"Đang làm")&gt;0,"Đang làm","Chưa")))))</f>
        <v/>
      </c>
      <c r="K14" s="14" t="str">
        <f aca="false">IF($A14="","",IF((COUNTIFS(Task!$A$5:$A$404,$A14,Task!$C$5:$C$404,K$3)-COUNTIFS(Task!$A$5:$A$404,$A14,Task!$C$5:$C$404,K$3,Task!$K$5:$K$404,"Không áp dụng"))=0,"–",IF(COUNTIFS(Task!$A$5:$A$404,$A14,Task!$C$5:$C$404,K$3,Task!$K$5:$K$404,"Hoàn thành")=(COUNTIFS(Task!$A$5:$A$404,$A14,Task!$C$5:$C$404,K$3)-COUNTIFS(Task!$A$5:$A$404,$A14,Task!$C$5:$C$404,K$3,Task!$K$5:$K$404,"Không áp dụng")),"Xong",IF(COUNTIFS(Task!$A$5:$A$404,$A14,Task!$C$5:$C$404,K$3,Task!$K$5:$K$404,"Bị chặn")&gt;0,"Bị chặn",IF(COUNTIFS(Task!$A$5:$A$404,$A14,Task!$C$5:$C$404,K$3,Task!$K$5:$K$404,"Hoàn thành")+COUNTIFS(Task!$A$5:$A$404,$A14,Task!$C$5:$C$404,K$3,Task!$K$5:$K$404,"Đang làm")&gt;0,"Đang làm","Chưa")))))</f>
        <v/>
      </c>
      <c r="L14" s="14" t="str">
        <f aca="false">IF($A14="","",IF((COUNTIFS(Task!$A$5:$A$404,$A14,Task!$C$5:$C$404,L$3)-COUNTIFS(Task!$A$5:$A$404,$A14,Task!$C$5:$C$404,L$3,Task!$K$5:$K$404,"Không áp dụng"))=0,"–",IF(COUNTIFS(Task!$A$5:$A$404,$A14,Task!$C$5:$C$404,L$3,Task!$K$5:$K$404,"Hoàn thành")=(COUNTIFS(Task!$A$5:$A$404,$A14,Task!$C$5:$C$404,L$3)-COUNTIFS(Task!$A$5:$A$404,$A14,Task!$C$5:$C$404,L$3,Task!$K$5:$K$404,"Không áp dụng")),"Xong",IF(COUNTIFS(Task!$A$5:$A$404,$A14,Task!$C$5:$C$404,L$3,Task!$K$5:$K$404,"Bị chặn")&gt;0,"Bị chặn",IF(COUNTIFS(Task!$A$5:$A$404,$A14,Task!$C$5:$C$404,L$3,Task!$K$5:$K$404,"Hoàn thành")+COUNTIFS(Task!$A$5:$A$404,$A14,Task!$C$5:$C$404,L$3,Task!$K$5:$K$404,"Đang làm")&gt;0,"Đang làm","Chưa")))))</f>
        <v/>
      </c>
      <c r="M14" s="14" t="str">
        <f aca="false">IF($A14="","",IF((COUNTIFS(Task!$A$5:$A$404,$A14,Task!$C$5:$C$404,M$3)-COUNTIFS(Task!$A$5:$A$404,$A14,Task!$C$5:$C$404,M$3,Task!$K$5:$K$404,"Không áp dụng"))=0,"–",IF(COUNTIFS(Task!$A$5:$A$404,$A14,Task!$C$5:$C$404,M$3,Task!$K$5:$K$404,"Hoàn thành")=(COUNTIFS(Task!$A$5:$A$404,$A14,Task!$C$5:$C$404,M$3)-COUNTIFS(Task!$A$5:$A$404,$A14,Task!$C$5:$C$404,M$3,Task!$K$5:$K$404,"Không áp dụng")),"Xong",IF(COUNTIFS(Task!$A$5:$A$404,$A14,Task!$C$5:$C$404,M$3,Task!$K$5:$K$404,"Bị chặn")&gt;0,"Bị chặn",IF(COUNTIFS(Task!$A$5:$A$404,$A14,Task!$C$5:$C$404,M$3,Task!$K$5:$K$404,"Hoàn thành")+COUNTIFS(Task!$A$5:$A$404,$A14,Task!$C$5:$C$404,M$3,Task!$K$5:$K$404,"Đang làm")&gt;0,"Đang làm","Chưa")))))</f>
        <v/>
      </c>
      <c r="N14" s="14" t="str">
        <f aca="false">IF($A14="","",IF(F14&lt;&gt;"Xong",1,IF(G14&lt;&gt;"Xong",2,IF(H14&lt;&gt;"Xong",3,IF(I14&lt;&gt;"Xong",4,IF(J14&lt;&gt;"Xong",5,IF(K14&lt;&gt;"Xong",6,IF(L14&lt;&gt;"Xong",7,IF(M14&lt;&gt;"Xong",8,9)))))))))</f>
        <v/>
      </c>
      <c r="O14" s="14" t="str">
        <f aca="false">IF($A14="","",IF($N14=9,"Hoàn tất",INDEX('Quy trình'!$B$5:$B$12,$N14)))</f>
        <v/>
      </c>
      <c r="P14" s="14" t="str">
        <f aca="false">IF($A14="","",COUNTIFS(Task!$A$5:$A$404,$A14)-COUNTIFS(Task!$A$5:$A$404,$A14,Task!$K$5:$K$404,"Không áp dụng"))</f>
        <v/>
      </c>
      <c r="Q14" s="14" t="str">
        <f aca="false">IF($A14="","",COUNTIFS(Task!$A$5:$A$404,$A14,Task!$K$5:$K$404,"Hoàn thành"))</f>
        <v/>
      </c>
      <c r="R14" s="16" t="str">
        <f aca="false">IF($A14="","",Q14/MAX(P14,COUNTA('Mẫu task'!$A$5:$A$64)))</f>
        <v/>
      </c>
      <c r="S14" s="14" t="str">
        <f aca="false">IF($A14="","",SUMIFS(Task!$O$5:$O$404,Task!$A$5:$A$404,$A14))</f>
        <v/>
      </c>
      <c r="T14" s="14" t="str">
        <f aca="false">IF($A14="","",COUNTIFS(Task!$A$5:$A$404,$A14,Task!$K$5:$K$404,"Bị chặn"))</f>
        <v/>
      </c>
      <c r="U14" s="14" t="str">
        <f aca="false">IF($A14="","",IF(P14=0,"Chưa có task",IF(T14&gt;0,"Bị chặn",IF(S14&gt;0,"Có việc trễ",IF(N14=9,"Hoàn tất","Đúng tiến độ")))))</f>
        <v/>
      </c>
      <c r="V14" s="14" t="str">
        <f aca="false">IF($A14="","",IFERROR(INDEX('Chấm điểm'!$D$16:$M$16,MATCH($A14,'Chấm điểm'!$D$4:$M$4,0)),""))</f>
        <v/>
      </c>
    </row>
    <row r="15" customFormat="false" ht="15" hidden="false" customHeight="false" outlineLevel="0" collapsed="false">
      <c r="A15" s="19"/>
      <c r="B15" s="19"/>
      <c r="C15" s="19"/>
      <c r="D15" s="19"/>
      <c r="E15" s="20"/>
      <c r="F15" s="14" t="str">
        <f aca="false">IF($A15="","",IF((COUNTIFS(Task!$A$5:$A$404,$A15,Task!$C$5:$C$404,F$3)-COUNTIFS(Task!$A$5:$A$404,$A15,Task!$C$5:$C$404,F$3,Task!$K$5:$K$404,"Không áp dụng"))=0,"–",IF(COUNTIFS(Task!$A$5:$A$404,$A15,Task!$C$5:$C$404,F$3,Task!$K$5:$K$404,"Hoàn thành")=(COUNTIFS(Task!$A$5:$A$404,$A15,Task!$C$5:$C$404,F$3)-COUNTIFS(Task!$A$5:$A$404,$A15,Task!$C$5:$C$404,F$3,Task!$K$5:$K$404,"Không áp dụng")),"Xong",IF(COUNTIFS(Task!$A$5:$A$404,$A15,Task!$C$5:$C$404,F$3,Task!$K$5:$K$404,"Bị chặn")&gt;0,"Bị chặn",IF(COUNTIFS(Task!$A$5:$A$404,$A15,Task!$C$5:$C$404,F$3,Task!$K$5:$K$404,"Hoàn thành")+COUNTIFS(Task!$A$5:$A$404,$A15,Task!$C$5:$C$404,F$3,Task!$K$5:$K$404,"Đang làm")&gt;0,"Đang làm","Chưa")))))</f>
        <v/>
      </c>
      <c r="G15" s="14" t="str">
        <f aca="false">IF($A15="","",IF((COUNTIFS(Task!$A$5:$A$404,$A15,Task!$C$5:$C$404,G$3)-COUNTIFS(Task!$A$5:$A$404,$A15,Task!$C$5:$C$404,G$3,Task!$K$5:$K$404,"Không áp dụng"))=0,"–",IF(COUNTIFS(Task!$A$5:$A$404,$A15,Task!$C$5:$C$404,G$3,Task!$K$5:$K$404,"Hoàn thành")=(COUNTIFS(Task!$A$5:$A$404,$A15,Task!$C$5:$C$404,G$3)-COUNTIFS(Task!$A$5:$A$404,$A15,Task!$C$5:$C$404,G$3,Task!$K$5:$K$404,"Không áp dụng")),"Xong",IF(COUNTIFS(Task!$A$5:$A$404,$A15,Task!$C$5:$C$404,G$3,Task!$K$5:$K$404,"Bị chặn")&gt;0,"Bị chặn",IF(COUNTIFS(Task!$A$5:$A$404,$A15,Task!$C$5:$C$404,G$3,Task!$K$5:$K$404,"Hoàn thành")+COUNTIFS(Task!$A$5:$A$404,$A15,Task!$C$5:$C$404,G$3,Task!$K$5:$K$404,"Đang làm")&gt;0,"Đang làm","Chưa")))))</f>
        <v/>
      </c>
      <c r="H15" s="14" t="str">
        <f aca="false">IF($A15="","",IF((COUNTIFS(Task!$A$5:$A$404,$A15,Task!$C$5:$C$404,H$3)-COUNTIFS(Task!$A$5:$A$404,$A15,Task!$C$5:$C$404,H$3,Task!$K$5:$K$404,"Không áp dụng"))=0,"–",IF(COUNTIFS(Task!$A$5:$A$404,$A15,Task!$C$5:$C$404,H$3,Task!$K$5:$K$404,"Hoàn thành")=(COUNTIFS(Task!$A$5:$A$404,$A15,Task!$C$5:$C$404,H$3)-COUNTIFS(Task!$A$5:$A$404,$A15,Task!$C$5:$C$404,H$3,Task!$K$5:$K$404,"Không áp dụng")),"Xong",IF(COUNTIFS(Task!$A$5:$A$404,$A15,Task!$C$5:$C$404,H$3,Task!$K$5:$K$404,"Bị chặn")&gt;0,"Bị chặn",IF(COUNTIFS(Task!$A$5:$A$404,$A15,Task!$C$5:$C$404,H$3,Task!$K$5:$K$404,"Hoàn thành")+COUNTIFS(Task!$A$5:$A$404,$A15,Task!$C$5:$C$404,H$3,Task!$K$5:$K$404,"Đang làm")&gt;0,"Đang làm","Chưa")))))</f>
        <v/>
      </c>
      <c r="I15" s="14" t="str">
        <f aca="false">IF($A15="","",IF((COUNTIFS(Task!$A$5:$A$404,$A15,Task!$C$5:$C$404,I$3)-COUNTIFS(Task!$A$5:$A$404,$A15,Task!$C$5:$C$404,I$3,Task!$K$5:$K$404,"Không áp dụng"))=0,"–",IF(COUNTIFS(Task!$A$5:$A$404,$A15,Task!$C$5:$C$404,I$3,Task!$K$5:$K$404,"Hoàn thành")=(COUNTIFS(Task!$A$5:$A$404,$A15,Task!$C$5:$C$404,I$3)-COUNTIFS(Task!$A$5:$A$404,$A15,Task!$C$5:$C$404,I$3,Task!$K$5:$K$404,"Không áp dụng")),"Xong",IF(COUNTIFS(Task!$A$5:$A$404,$A15,Task!$C$5:$C$404,I$3,Task!$K$5:$K$404,"Bị chặn")&gt;0,"Bị chặn",IF(COUNTIFS(Task!$A$5:$A$404,$A15,Task!$C$5:$C$404,I$3,Task!$K$5:$K$404,"Hoàn thành")+COUNTIFS(Task!$A$5:$A$404,$A15,Task!$C$5:$C$404,I$3,Task!$K$5:$K$404,"Đang làm")&gt;0,"Đang làm","Chưa")))))</f>
        <v/>
      </c>
      <c r="J15" s="14" t="str">
        <f aca="false">IF($A15="","",IF((COUNTIFS(Task!$A$5:$A$404,$A15,Task!$C$5:$C$404,J$3)-COUNTIFS(Task!$A$5:$A$404,$A15,Task!$C$5:$C$404,J$3,Task!$K$5:$K$404,"Không áp dụng"))=0,"–",IF(COUNTIFS(Task!$A$5:$A$404,$A15,Task!$C$5:$C$404,J$3,Task!$K$5:$K$404,"Hoàn thành")=(COUNTIFS(Task!$A$5:$A$404,$A15,Task!$C$5:$C$404,J$3)-COUNTIFS(Task!$A$5:$A$404,$A15,Task!$C$5:$C$404,J$3,Task!$K$5:$K$404,"Không áp dụng")),"Xong",IF(COUNTIFS(Task!$A$5:$A$404,$A15,Task!$C$5:$C$404,J$3,Task!$K$5:$K$404,"Bị chặn")&gt;0,"Bị chặn",IF(COUNTIFS(Task!$A$5:$A$404,$A15,Task!$C$5:$C$404,J$3,Task!$K$5:$K$404,"Hoàn thành")+COUNTIFS(Task!$A$5:$A$404,$A15,Task!$C$5:$C$404,J$3,Task!$K$5:$K$404,"Đang làm")&gt;0,"Đang làm","Chưa")))))</f>
        <v/>
      </c>
      <c r="K15" s="14" t="str">
        <f aca="false">IF($A15="","",IF((COUNTIFS(Task!$A$5:$A$404,$A15,Task!$C$5:$C$404,K$3)-COUNTIFS(Task!$A$5:$A$404,$A15,Task!$C$5:$C$404,K$3,Task!$K$5:$K$404,"Không áp dụng"))=0,"–",IF(COUNTIFS(Task!$A$5:$A$404,$A15,Task!$C$5:$C$404,K$3,Task!$K$5:$K$404,"Hoàn thành")=(COUNTIFS(Task!$A$5:$A$404,$A15,Task!$C$5:$C$404,K$3)-COUNTIFS(Task!$A$5:$A$404,$A15,Task!$C$5:$C$404,K$3,Task!$K$5:$K$404,"Không áp dụng")),"Xong",IF(COUNTIFS(Task!$A$5:$A$404,$A15,Task!$C$5:$C$404,K$3,Task!$K$5:$K$404,"Bị chặn")&gt;0,"Bị chặn",IF(COUNTIFS(Task!$A$5:$A$404,$A15,Task!$C$5:$C$404,K$3,Task!$K$5:$K$404,"Hoàn thành")+COUNTIFS(Task!$A$5:$A$404,$A15,Task!$C$5:$C$404,K$3,Task!$K$5:$K$404,"Đang làm")&gt;0,"Đang làm","Chưa")))))</f>
        <v/>
      </c>
      <c r="L15" s="14" t="str">
        <f aca="false">IF($A15="","",IF((COUNTIFS(Task!$A$5:$A$404,$A15,Task!$C$5:$C$404,L$3)-COUNTIFS(Task!$A$5:$A$404,$A15,Task!$C$5:$C$404,L$3,Task!$K$5:$K$404,"Không áp dụng"))=0,"–",IF(COUNTIFS(Task!$A$5:$A$404,$A15,Task!$C$5:$C$404,L$3,Task!$K$5:$K$404,"Hoàn thành")=(COUNTIFS(Task!$A$5:$A$404,$A15,Task!$C$5:$C$404,L$3)-COUNTIFS(Task!$A$5:$A$404,$A15,Task!$C$5:$C$404,L$3,Task!$K$5:$K$404,"Không áp dụng")),"Xong",IF(COUNTIFS(Task!$A$5:$A$404,$A15,Task!$C$5:$C$404,L$3,Task!$K$5:$K$404,"Bị chặn")&gt;0,"Bị chặn",IF(COUNTIFS(Task!$A$5:$A$404,$A15,Task!$C$5:$C$404,L$3,Task!$K$5:$K$404,"Hoàn thành")+COUNTIFS(Task!$A$5:$A$404,$A15,Task!$C$5:$C$404,L$3,Task!$K$5:$K$404,"Đang làm")&gt;0,"Đang làm","Chưa")))))</f>
        <v/>
      </c>
      <c r="M15" s="14" t="str">
        <f aca="false">IF($A15="","",IF((COUNTIFS(Task!$A$5:$A$404,$A15,Task!$C$5:$C$404,M$3)-COUNTIFS(Task!$A$5:$A$404,$A15,Task!$C$5:$C$404,M$3,Task!$K$5:$K$404,"Không áp dụng"))=0,"–",IF(COUNTIFS(Task!$A$5:$A$404,$A15,Task!$C$5:$C$404,M$3,Task!$K$5:$K$404,"Hoàn thành")=(COUNTIFS(Task!$A$5:$A$404,$A15,Task!$C$5:$C$404,M$3)-COUNTIFS(Task!$A$5:$A$404,$A15,Task!$C$5:$C$404,M$3,Task!$K$5:$K$404,"Không áp dụng")),"Xong",IF(COUNTIFS(Task!$A$5:$A$404,$A15,Task!$C$5:$C$404,M$3,Task!$K$5:$K$404,"Bị chặn")&gt;0,"Bị chặn",IF(COUNTIFS(Task!$A$5:$A$404,$A15,Task!$C$5:$C$404,M$3,Task!$K$5:$K$404,"Hoàn thành")+COUNTIFS(Task!$A$5:$A$404,$A15,Task!$C$5:$C$404,M$3,Task!$K$5:$K$404,"Đang làm")&gt;0,"Đang làm","Chưa")))))</f>
        <v/>
      </c>
      <c r="N15" s="14" t="str">
        <f aca="false">IF($A15="","",IF(F15&lt;&gt;"Xong",1,IF(G15&lt;&gt;"Xong",2,IF(H15&lt;&gt;"Xong",3,IF(I15&lt;&gt;"Xong",4,IF(J15&lt;&gt;"Xong",5,IF(K15&lt;&gt;"Xong",6,IF(L15&lt;&gt;"Xong",7,IF(M15&lt;&gt;"Xong",8,9)))))))))</f>
        <v/>
      </c>
      <c r="O15" s="14" t="str">
        <f aca="false">IF($A15="","",IF($N15=9,"Hoàn tất",INDEX('Quy trình'!$B$5:$B$12,$N15)))</f>
        <v/>
      </c>
      <c r="P15" s="14" t="str">
        <f aca="false">IF($A15="","",COUNTIFS(Task!$A$5:$A$404,$A15)-COUNTIFS(Task!$A$5:$A$404,$A15,Task!$K$5:$K$404,"Không áp dụng"))</f>
        <v/>
      </c>
      <c r="Q15" s="14" t="str">
        <f aca="false">IF($A15="","",COUNTIFS(Task!$A$5:$A$404,$A15,Task!$K$5:$K$404,"Hoàn thành"))</f>
        <v/>
      </c>
      <c r="R15" s="16" t="str">
        <f aca="false">IF($A15="","",Q15/MAX(P15,COUNTA('Mẫu task'!$A$5:$A$64)))</f>
        <v/>
      </c>
      <c r="S15" s="14" t="str">
        <f aca="false">IF($A15="","",SUMIFS(Task!$O$5:$O$404,Task!$A$5:$A$404,$A15))</f>
        <v/>
      </c>
      <c r="T15" s="14" t="str">
        <f aca="false">IF($A15="","",COUNTIFS(Task!$A$5:$A$404,$A15,Task!$K$5:$K$404,"Bị chặn"))</f>
        <v/>
      </c>
      <c r="U15" s="14" t="str">
        <f aca="false">IF($A15="","",IF(P15=0,"Chưa có task",IF(T15&gt;0,"Bị chặn",IF(S15&gt;0,"Có việc trễ",IF(N15=9,"Hoàn tất","Đúng tiến độ")))))</f>
        <v/>
      </c>
      <c r="V15" s="14" t="str">
        <f aca="false">IF($A15="","",IFERROR(INDEX('Chấm điểm'!$D$16:$M$16,MATCH($A15,'Chấm điểm'!$D$4:$M$4,0)),""))</f>
        <v/>
      </c>
    </row>
    <row r="16" customFormat="false" ht="15" hidden="false" customHeight="false" outlineLevel="0" collapsed="false">
      <c r="A16" s="19"/>
      <c r="B16" s="19"/>
      <c r="C16" s="19"/>
      <c r="D16" s="19"/>
      <c r="E16" s="20"/>
      <c r="F16" s="14" t="str">
        <f aca="false">IF($A16="","",IF((COUNTIFS(Task!$A$5:$A$404,$A16,Task!$C$5:$C$404,F$3)-COUNTIFS(Task!$A$5:$A$404,$A16,Task!$C$5:$C$404,F$3,Task!$K$5:$K$404,"Không áp dụng"))=0,"–",IF(COUNTIFS(Task!$A$5:$A$404,$A16,Task!$C$5:$C$404,F$3,Task!$K$5:$K$404,"Hoàn thành")=(COUNTIFS(Task!$A$5:$A$404,$A16,Task!$C$5:$C$404,F$3)-COUNTIFS(Task!$A$5:$A$404,$A16,Task!$C$5:$C$404,F$3,Task!$K$5:$K$404,"Không áp dụng")),"Xong",IF(COUNTIFS(Task!$A$5:$A$404,$A16,Task!$C$5:$C$404,F$3,Task!$K$5:$K$404,"Bị chặn")&gt;0,"Bị chặn",IF(COUNTIFS(Task!$A$5:$A$404,$A16,Task!$C$5:$C$404,F$3,Task!$K$5:$K$404,"Hoàn thành")+COUNTIFS(Task!$A$5:$A$404,$A16,Task!$C$5:$C$404,F$3,Task!$K$5:$K$404,"Đang làm")&gt;0,"Đang làm","Chưa")))))</f>
        <v/>
      </c>
      <c r="G16" s="14" t="str">
        <f aca="false">IF($A16="","",IF((COUNTIFS(Task!$A$5:$A$404,$A16,Task!$C$5:$C$404,G$3)-COUNTIFS(Task!$A$5:$A$404,$A16,Task!$C$5:$C$404,G$3,Task!$K$5:$K$404,"Không áp dụng"))=0,"–",IF(COUNTIFS(Task!$A$5:$A$404,$A16,Task!$C$5:$C$404,G$3,Task!$K$5:$K$404,"Hoàn thành")=(COUNTIFS(Task!$A$5:$A$404,$A16,Task!$C$5:$C$404,G$3)-COUNTIFS(Task!$A$5:$A$404,$A16,Task!$C$5:$C$404,G$3,Task!$K$5:$K$404,"Không áp dụng")),"Xong",IF(COUNTIFS(Task!$A$5:$A$404,$A16,Task!$C$5:$C$404,G$3,Task!$K$5:$K$404,"Bị chặn")&gt;0,"Bị chặn",IF(COUNTIFS(Task!$A$5:$A$404,$A16,Task!$C$5:$C$404,G$3,Task!$K$5:$K$404,"Hoàn thành")+COUNTIFS(Task!$A$5:$A$404,$A16,Task!$C$5:$C$404,G$3,Task!$K$5:$K$404,"Đang làm")&gt;0,"Đang làm","Chưa")))))</f>
        <v/>
      </c>
      <c r="H16" s="14" t="str">
        <f aca="false">IF($A16="","",IF((COUNTIFS(Task!$A$5:$A$404,$A16,Task!$C$5:$C$404,H$3)-COUNTIFS(Task!$A$5:$A$404,$A16,Task!$C$5:$C$404,H$3,Task!$K$5:$K$404,"Không áp dụng"))=0,"–",IF(COUNTIFS(Task!$A$5:$A$404,$A16,Task!$C$5:$C$404,H$3,Task!$K$5:$K$404,"Hoàn thành")=(COUNTIFS(Task!$A$5:$A$404,$A16,Task!$C$5:$C$404,H$3)-COUNTIFS(Task!$A$5:$A$404,$A16,Task!$C$5:$C$404,H$3,Task!$K$5:$K$404,"Không áp dụng")),"Xong",IF(COUNTIFS(Task!$A$5:$A$404,$A16,Task!$C$5:$C$404,H$3,Task!$K$5:$K$404,"Bị chặn")&gt;0,"Bị chặn",IF(COUNTIFS(Task!$A$5:$A$404,$A16,Task!$C$5:$C$404,H$3,Task!$K$5:$K$404,"Hoàn thành")+COUNTIFS(Task!$A$5:$A$404,$A16,Task!$C$5:$C$404,H$3,Task!$K$5:$K$404,"Đang làm")&gt;0,"Đang làm","Chưa")))))</f>
        <v/>
      </c>
      <c r="I16" s="14" t="str">
        <f aca="false">IF($A16="","",IF((COUNTIFS(Task!$A$5:$A$404,$A16,Task!$C$5:$C$404,I$3)-COUNTIFS(Task!$A$5:$A$404,$A16,Task!$C$5:$C$404,I$3,Task!$K$5:$K$404,"Không áp dụng"))=0,"–",IF(COUNTIFS(Task!$A$5:$A$404,$A16,Task!$C$5:$C$404,I$3,Task!$K$5:$K$404,"Hoàn thành")=(COUNTIFS(Task!$A$5:$A$404,$A16,Task!$C$5:$C$404,I$3)-COUNTIFS(Task!$A$5:$A$404,$A16,Task!$C$5:$C$404,I$3,Task!$K$5:$K$404,"Không áp dụng")),"Xong",IF(COUNTIFS(Task!$A$5:$A$404,$A16,Task!$C$5:$C$404,I$3,Task!$K$5:$K$404,"Bị chặn")&gt;0,"Bị chặn",IF(COUNTIFS(Task!$A$5:$A$404,$A16,Task!$C$5:$C$404,I$3,Task!$K$5:$K$404,"Hoàn thành")+COUNTIFS(Task!$A$5:$A$404,$A16,Task!$C$5:$C$404,I$3,Task!$K$5:$K$404,"Đang làm")&gt;0,"Đang làm","Chưa")))))</f>
        <v/>
      </c>
      <c r="J16" s="14" t="str">
        <f aca="false">IF($A16="","",IF((COUNTIFS(Task!$A$5:$A$404,$A16,Task!$C$5:$C$404,J$3)-COUNTIFS(Task!$A$5:$A$404,$A16,Task!$C$5:$C$404,J$3,Task!$K$5:$K$404,"Không áp dụng"))=0,"–",IF(COUNTIFS(Task!$A$5:$A$404,$A16,Task!$C$5:$C$404,J$3,Task!$K$5:$K$404,"Hoàn thành")=(COUNTIFS(Task!$A$5:$A$404,$A16,Task!$C$5:$C$404,J$3)-COUNTIFS(Task!$A$5:$A$404,$A16,Task!$C$5:$C$404,J$3,Task!$K$5:$K$404,"Không áp dụng")),"Xong",IF(COUNTIFS(Task!$A$5:$A$404,$A16,Task!$C$5:$C$404,J$3,Task!$K$5:$K$404,"Bị chặn")&gt;0,"Bị chặn",IF(COUNTIFS(Task!$A$5:$A$404,$A16,Task!$C$5:$C$404,J$3,Task!$K$5:$K$404,"Hoàn thành")+COUNTIFS(Task!$A$5:$A$404,$A16,Task!$C$5:$C$404,J$3,Task!$K$5:$K$404,"Đang làm")&gt;0,"Đang làm","Chưa")))))</f>
        <v/>
      </c>
      <c r="K16" s="14" t="str">
        <f aca="false">IF($A16="","",IF((COUNTIFS(Task!$A$5:$A$404,$A16,Task!$C$5:$C$404,K$3)-COUNTIFS(Task!$A$5:$A$404,$A16,Task!$C$5:$C$404,K$3,Task!$K$5:$K$404,"Không áp dụng"))=0,"–",IF(COUNTIFS(Task!$A$5:$A$404,$A16,Task!$C$5:$C$404,K$3,Task!$K$5:$K$404,"Hoàn thành")=(COUNTIFS(Task!$A$5:$A$404,$A16,Task!$C$5:$C$404,K$3)-COUNTIFS(Task!$A$5:$A$404,$A16,Task!$C$5:$C$404,K$3,Task!$K$5:$K$404,"Không áp dụng")),"Xong",IF(COUNTIFS(Task!$A$5:$A$404,$A16,Task!$C$5:$C$404,K$3,Task!$K$5:$K$404,"Bị chặn")&gt;0,"Bị chặn",IF(COUNTIFS(Task!$A$5:$A$404,$A16,Task!$C$5:$C$404,K$3,Task!$K$5:$K$404,"Hoàn thành")+COUNTIFS(Task!$A$5:$A$404,$A16,Task!$C$5:$C$404,K$3,Task!$K$5:$K$404,"Đang làm")&gt;0,"Đang làm","Chưa")))))</f>
        <v/>
      </c>
      <c r="L16" s="14" t="str">
        <f aca="false">IF($A16="","",IF((COUNTIFS(Task!$A$5:$A$404,$A16,Task!$C$5:$C$404,L$3)-COUNTIFS(Task!$A$5:$A$404,$A16,Task!$C$5:$C$404,L$3,Task!$K$5:$K$404,"Không áp dụng"))=0,"–",IF(COUNTIFS(Task!$A$5:$A$404,$A16,Task!$C$5:$C$404,L$3,Task!$K$5:$K$404,"Hoàn thành")=(COUNTIFS(Task!$A$5:$A$404,$A16,Task!$C$5:$C$404,L$3)-COUNTIFS(Task!$A$5:$A$404,$A16,Task!$C$5:$C$404,L$3,Task!$K$5:$K$404,"Không áp dụng")),"Xong",IF(COUNTIFS(Task!$A$5:$A$404,$A16,Task!$C$5:$C$404,L$3,Task!$K$5:$K$404,"Bị chặn")&gt;0,"Bị chặn",IF(COUNTIFS(Task!$A$5:$A$404,$A16,Task!$C$5:$C$404,L$3,Task!$K$5:$K$404,"Hoàn thành")+COUNTIFS(Task!$A$5:$A$404,$A16,Task!$C$5:$C$404,L$3,Task!$K$5:$K$404,"Đang làm")&gt;0,"Đang làm","Chưa")))))</f>
        <v/>
      </c>
      <c r="M16" s="14" t="str">
        <f aca="false">IF($A16="","",IF((COUNTIFS(Task!$A$5:$A$404,$A16,Task!$C$5:$C$404,M$3)-COUNTIFS(Task!$A$5:$A$404,$A16,Task!$C$5:$C$404,M$3,Task!$K$5:$K$404,"Không áp dụng"))=0,"–",IF(COUNTIFS(Task!$A$5:$A$404,$A16,Task!$C$5:$C$404,M$3,Task!$K$5:$K$404,"Hoàn thành")=(COUNTIFS(Task!$A$5:$A$404,$A16,Task!$C$5:$C$404,M$3)-COUNTIFS(Task!$A$5:$A$404,$A16,Task!$C$5:$C$404,M$3,Task!$K$5:$K$404,"Không áp dụng")),"Xong",IF(COUNTIFS(Task!$A$5:$A$404,$A16,Task!$C$5:$C$404,M$3,Task!$K$5:$K$404,"Bị chặn")&gt;0,"Bị chặn",IF(COUNTIFS(Task!$A$5:$A$404,$A16,Task!$C$5:$C$404,M$3,Task!$K$5:$K$404,"Hoàn thành")+COUNTIFS(Task!$A$5:$A$404,$A16,Task!$C$5:$C$404,M$3,Task!$K$5:$K$404,"Đang làm")&gt;0,"Đang làm","Chưa")))))</f>
        <v/>
      </c>
      <c r="N16" s="14" t="str">
        <f aca="false">IF($A16="","",IF(F16&lt;&gt;"Xong",1,IF(G16&lt;&gt;"Xong",2,IF(H16&lt;&gt;"Xong",3,IF(I16&lt;&gt;"Xong",4,IF(J16&lt;&gt;"Xong",5,IF(K16&lt;&gt;"Xong",6,IF(L16&lt;&gt;"Xong",7,IF(M16&lt;&gt;"Xong",8,9)))))))))</f>
        <v/>
      </c>
      <c r="O16" s="14" t="str">
        <f aca="false">IF($A16="","",IF($N16=9,"Hoàn tất",INDEX('Quy trình'!$B$5:$B$12,$N16)))</f>
        <v/>
      </c>
      <c r="P16" s="14" t="str">
        <f aca="false">IF($A16="","",COUNTIFS(Task!$A$5:$A$404,$A16)-COUNTIFS(Task!$A$5:$A$404,$A16,Task!$K$5:$K$404,"Không áp dụng"))</f>
        <v/>
      </c>
      <c r="Q16" s="14" t="str">
        <f aca="false">IF($A16="","",COUNTIFS(Task!$A$5:$A$404,$A16,Task!$K$5:$K$404,"Hoàn thành"))</f>
        <v/>
      </c>
      <c r="R16" s="16" t="str">
        <f aca="false">IF($A16="","",Q16/MAX(P16,COUNTA('Mẫu task'!$A$5:$A$64)))</f>
        <v/>
      </c>
      <c r="S16" s="14" t="str">
        <f aca="false">IF($A16="","",SUMIFS(Task!$O$5:$O$404,Task!$A$5:$A$404,$A16))</f>
        <v/>
      </c>
      <c r="T16" s="14" t="str">
        <f aca="false">IF($A16="","",COUNTIFS(Task!$A$5:$A$404,$A16,Task!$K$5:$K$404,"Bị chặn"))</f>
        <v/>
      </c>
      <c r="U16" s="14" t="str">
        <f aca="false">IF($A16="","",IF(P16=0,"Chưa có task",IF(T16&gt;0,"Bị chặn",IF(S16&gt;0,"Có việc trễ",IF(N16=9,"Hoàn tất","Đúng tiến độ")))))</f>
        <v/>
      </c>
      <c r="V16" s="14" t="str">
        <f aca="false">IF($A16="","",IFERROR(INDEX('Chấm điểm'!$D$16:$M$16,MATCH($A16,'Chấm điểm'!$D$4:$M$4,0)),""))</f>
        <v/>
      </c>
    </row>
    <row r="17" customFormat="false" ht="15" hidden="false" customHeight="false" outlineLevel="0" collapsed="false">
      <c r="A17" s="19"/>
      <c r="B17" s="19"/>
      <c r="C17" s="19"/>
      <c r="D17" s="19"/>
      <c r="E17" s="20"/>
      <c r="F17" s="14" t="str">
        <f aca="false">IF($A17="","",IF((COUNTIFS(Task!$A$5:$A$404,$A17,Task!$C$5:$C$404,F$3)-COUNTIFS(Task!$A$5:$A$404,$A17,Task!$C$5:$C$404,F$3,Task!$K$5:$K$404,"Không áp dụng"))=0,"–",IF(COUNTIFS(Task!$A$5:$A$404,$A17,Task!$C$5:$C$404,F$3,Task!$K$5:$K$404,"Hoàn thành")=(COUNTIFS(Task!$A$5:$A$404,$A17,Task!$C$5:$C$404,F$3)-COUNTIFS(Task!$A$5:$A$404,$A17,Task!$C$5:$C$404,F$3,Task!$K$5:$K$404,"Không áp dụng")),"Xong",IF(COUNTIFS(Task!$A$5:$A$404,$A17,Task!$C$5:$C$404,F$3,Task!$K$5:$K$404,"Bị chặn")&gt;0,"Bị chặn",IF(COUNTIFS(Task!$A$5:$A$404,$A17,Task!$C$5:$C$404,F$3,Task!$K$5:$K$404,"Hoàn thành")+COUNTIFS(Task!$A$5:$A$404,$A17,Task!$C$5:$C$404,F$3,Task!$K$5:$K$404,"Đang làm")&gt;0,"Đang làm","Chưa")))))</f>
        <v/>
      </c>
      <c r="G17" s="14" t="str">
        <f aca="false">IF($A17="","",IF((COUNTIFS(Task!$A$5:$A$404,$A17,Task!$C$5:$C$404,G$3)-COUNTIFS(Task!$A$5:$A$404,$A17,Task!$C$5:$C$404,G$3,Task!$K$5:$K$404,"Không áp dụng"))=0,"–",IF(COUNTIFS(Task!$A$5:$A$404,$A17,Task!$C$5:$C$404,G$3,Task!$K$5:$K$404,"Hoàn thành")=(COUNTIFS(Task!$A$5:$A$404,$A17,Task!$C$5:$C$404,G$3)-COUNTIFS(Task!$A$5:$A$404,$A17,Task!$C$5:$C$404,G$3,Task!$K$5:$K$404,"Không áp dụng")),"Xong",IF(COUNTIFS(Task!$A$5:$A$404,$A17,Task!$C$5:$C$404,G$3,Task!$K$5:$K$404,"Bị chặn")&gt;0,"Bị chặn",IF(COUNTIFS(Task!$A$5:$A$404,$A17,Task!$C$5:$C$404,G$3,Task!$K$5:$K$404,"Hoàn thành")+COUNTIFS(Task!$A$5:$A$404,$A17,Task!$C$5:$C$404,G$3,Task!$K$5:$K$404,"Đang làm")&gt;0,"Đang làm","Chưa")))))</f>
        <v/>
      </c>
      <c r="H17" s="14" t="str">
        <f aca="false">IF($A17="","",IF((COUNTIFS(Task!$A$5:$A$404,$A17,Task!$C$5:$C$404,H$3)-COUNTIFS(Task!$A$5:$A$404,$A17,Task!$C$5:$C$404,H$3,Task!$K$5:$K$404,"Không áp dụng"))=0,"–",IF(COUNTIFS(Task!$A$5:$A$404,$A17,Task!$C$5:$C$404,H$3,Task!$K$5:$K$404,"Hoàn thành")=(COUNTIFS(Task!$A$5:$A$404,$A17,Task!$C$5:$C$404,H$3)-COUNTIFS(Task!$A$5:$A$404,$A17,Task!$C$5:$C$404,H$3,Task!$K$5:$K$404,"Không áp dụng")),"Xong",IF(COUNTIFS(Task!$A$5:$A$404,$A17,Task!$C$5:$C$404,H$3,Task!$K$5:$K$404,"Bị chặn")&gt;0,"Bị chặn",IF(COUNTIFS(Task!$A$5:$A$404,$A17,Task!$C$5:$C$404,H$3,Task!$K$5:$K$404,"Hoàn thành")+COUNTIFS(Task!$A$5:$A$404,$A17,Task!$C$5:$C$404,H$3,Task!$K$5:$K$404,"Đang làm")&gt;0,"Đang làm","Chưa")))))</f>
        <v/>
      </c>
      <c r="I17" s="14" t="str">
        <f aca="false">IF($A17="","",IF((COUNTIFS(Task!$A$5:$A$404,$A17,Task!$C$5:$C$404,I$3)-COUNTIFS(Task!$A$5:$A$404,$A17,Task!$C$5:$C$404,I$3,Task!$K$5:$K$404,"Không áp dụng"))=0,"–",IF(COUNTIFS(Task!$A$5:$A$404,$A17,Task!$C$5:$C$404,I$3,Task!$K$5:$K$404,"Hoàn thành")=(COUNTIFS(Task!$A$5:$A$404,$A17,Task!$C$5:$C$404,I$3)-COUNTIFS(Task!$A$5:$A$404,$A17,Task!$C$5:$C$404,I$3,Task!$K$5:$K$404,"Không áp dụng")),"Xong",IF(COUNTIFS(Task!$A$5:$A$404,$A17,Task!$C$5:$C$404,I$3,Task!$K$5:$K$404,"Bị chặn")&gt;0,"Bị chặn",IF(COUNTIFS(Task!$A$5:$A$404,$A17,Task!$C$5:$C$404,I$3,Task!$K$5:$K$404,"Hoàn thành")+COUNTIFS(Task!$A$5:$A$404,$A17,Task!$C$5:$C$404,I$3,Task!$K$5:$K$404,"Đang làm")&gt;0,"Đang làm","Chưa")))))</f>
        <v/>
      </c>
      <c r="J17" s="14" t="str">
        <f aca="false">IF($A17="","",IF((COUNTIFS(Task!$A$5:$A$404,$A17,Task!$C$5:$C$404,J$3)-COUNTIFS(Task!$A$5:$A$404,$A17,Task!$C$5:$C$404,J$3,Task!$K$5:$K$404,"Không áp dụng"))=0,"–",IF(COUNTIFS(Task!$A$5:$A$404,$A17,Task!$C$5:$C$404,J$3,Task!$K$5:$K$404,"Hoàn thành")=(COUNTIFS(Task!$A$5:$A$404,$A17,Task!$C$5:$C$404,J$3)-COUNTIFS(Task!$A$5:$A$404,$A17,Task!$C$5:$C$404,J$3,Task!$K$5:$K$404,"Không áp dụng")),"Xong",IF(COUNTIFS(Task!$A$5:$A$404,$A17,Task!$C$5:$C$404,J$3,Task!$K$5:$K$404,"Bị chặn")&gt;0,"Bị chặn",IF(COUNTIFS(Task!$A$5:$A$404,$A17,Task!$C$5:$C$404,J$3,Task!$K$5:$K$404,"Hoàn thành")+COUNTIFS(Task!$A$5:$A$404,$A17,Task!$C$5:$C$404,J$3,Task!$K$5:$K$404,"Đang làm")&gt;0,"Đang làm","Chưa")))))</f>
        <v/>
      </c>
      <c r="K17" s="14" t="str">
        <f aca="false">IF($A17="","",IF((COUNTIFS(Task!$A$5:$A$404,$A17,Task!$C$5:$C$404,K$3)-COUNTIFS(Task!$A$5:$A$404,$A17,Task!$C$5:$C$404,K$3,Task!$K$5:$K$404,"Không áp dụng"))=0,"–",IF(COUNTIFS(Task!$A$5:$A$404,$A17,Task!$C$5:$C$404,K$3,Task!$K$5:$K$404,"Hoàn thành")=(COUNTIFS(Task!$A$5:$A$404,$A17,Task!$C$5:$C$404,K$3)-COUNTIFS(Task!$A$5:$A$404,$A17,Task!$C$5:$C$404,K$3,Task!$K$5:$K$404,"Không áp dụng")),"Xong",IF(COUNTIFS(Task!$A$5:$A$404,$A17,Task!$C$5:$C$404,K$3,Task!$K$5:$K$404,"Bị chặn")&gt;0,"Bị chặn",IF(COUNTIFS(Task!$A$5:$A$404,$A17,Task!$C$5:$C$404,K$3,Task!$K$5:$K$404,"Hoàn thành")+COUNTIFS(Task!$A$5:$A$404,$A17,Task!$C$5:$C$404,K$3,Task!$K$5:$K$404,"Đang làm")&gt;0,"Đang làm","Chưa")))))</f>
        <v/>
      </c>
      <c r="L17" s="14" t="str">
        <f aca="false">IF($A17="","",IF((COUNTIFS(Task!$A$5:$A$404,$A17,Task!$C$5:$C$404,L$3)-COUNTIFS(Task!$A$5:$A$404,$A17,Task!$C$5:$C$404,L$3,Task!$K$5:$K$404,"Không áp dụng"))=0,"–",IF(COUNTIFS(Task!$A$5:$A$404,$A17,Task!$C$5:$C$404,L$3,Task!$K$5:$K$404,"Hoàn thành")=(COUNTIFS(Task!$A$5:$A$404,$A17,Task!$C$5:$C$404,L$3)-COUNTIFS(Task!$A$5:$A$404,$A17,Task!$C$5:$C$404,L$3,Task!$K$5:$K$404,"Không áp dụng")),"Xong",IF(COUNTIFS(Task!$A$5:$A$404,$A17,Task!$C$5:$C$404,L$3,Task!$K$5:$K$404,"Bị chặn")&gt;0,"Bị chặn",IF(COUNTIFS(Task!$A$5:$A$404,$A17,Task!$C$5:$C$404,L$3,Task!$K$5:$K$404,"Hoàn thành")+COUNTIFS(Task!$A$5:$A$404,$A17,Task!$C$5:$C$404,L$3,Task!$K$5:$K$404,"Đang làm")&gt;0,"Đang làm","Chưa")))))</f>
        <v/>
      </c>
      <c r="M17" s="14" t="str">
        <f aca="false">IF($A17="","",IF((COUNTIFS(Task!$A$5:$A$404,$A17,Task!$C$5:$C$404,M$3)-COUNTIFS(Task!$A$5:$A$404,$A17,Task!$C$5:$C$404,M$3,Task!$K$5:$K$404,"Không áp dụng"))=0,"–",IF(COUNTIFS(Task!$A$5:$A$404,$A17,Task!$C$5:$C$404,M$3,Task!$K$5:$K$404,"Hoàn thành")=(COUNTIFS(Task!$A$5:$A$404,$A17,Task!$C$5:$C$404,M$3)-COUNTIFS(Task!$A$5:$A$404,$A17,Task!$C$5:$C$404,M$3,Task!$K$5:$K$404,"Không áp dụng")),"Xong",IF(COUNTIFS(Task!$A$5:$A$404,$A17,Task!$C$5:$C$404,M$3,Task!$K$5:$K$404,"Bị chặn")&gt;0,"Bị chặn",IF(COUNTIFS(Task!$A$5:$A$404,$A17,Task!$C$5:$C$404,M$3,Task!$K$5:$K$404,"Hoàn thành")+COUNTIFS(Task!$A$5:$A$404,$A17,Task!$C$5:$C$404,M$3,Task!$K$5:$K$404,"Đang làm")&gt;0,"Đang làm","Chưa")))))</f>
        <v/>
      </c>
      <c r="N17" s="14" t="str">
        <f aca="false">IF($A17="","",IF(F17&lt;&gt;"Xong",1,IF(G17&lt;&gt;"Xong",2,IF(H17&lt;&gt;"Xong",3,IF(I17&lt;&gt;"Xong",4,IF(J17&lt;&gt;"Xong",5,IF(K17&lt;&gt;"Xong",6,IF(L17&lt;&gt;"Xong",7,IF(M17&lt;&gt;"Xong",8,9)))))))))</f>
        <v/>
      </c>
      <c r="O17" s="14" t="str">
        <f aca="false">IF($A17="","",IF($N17=9,"Hoàn tất",INDEX('Quy trình'!$B$5:$B$12,$N17)))</f>
        <v/>
      </c>
      <c r="P17" s="14" t="str">
        <f aca="false">IF($A17="","",COUNTIFS(Task!$A$5:$A$404,$A17)-COUNTIFS(Task!$A$5:$A$404,$A17,Task!$K$5:$K$404,"Không áp dụng"))</f>
        <v/>
      </c>
      <c r="Q17" s="14" t="str">
        <f aca="false">IF($A17="","",COUNTIFS(Task!$A$5:$A$404,$A17,Task!$K$5:$K$404,"Hoàn thành"))</f>
        <v/>
      </c>
      <c r="R17" s="16" t="str">
        <f aca="false">IF($A17="","",Q17/MAX(P17,COUNTA('Mẫu task'!$A$5:$A$64)))</f>
        <v/>
      </c>
      <c r="S17" s="14" t="str">
        <f aca="false">IF($A17="","",SUMIFS(Task!$O$5:$O$404,Task!$A$5:$A$404,$A17))</f>
        <v/>
      </c>
      <c r="T17" s="14" t="str">
        <f aca="false">IF($A17="","",COUNTIFS(Task!$A$5:$A$404,$A17,Task!$K$5:$K$404,"Bị chặn"))</f>
        <v/>
      </c>
      <c r="U17" s="14" t="str">
        <f aca="false">IF($A17="","",IF(P17=0,"Chưa có task",IF(T17&gt;0,"Bị chặn",IF(S17&gt;0,"Có việc trễ",IF(N17=9,"Hoàn tất","Đúng tiến độ")))))</f>
        <v/>
      </c>
      <c r="V17" s="14" t="str">
        <f aca="false">IF($A17="","",IFERROR(INDEX('Chấm điểm'!$D$16:$M$16,MATCH($A17,'Chấm điểm'!$D$4:$M$4,0)),""))</f>
        <v/>
      </c>
    </row>
    <row r="18" customFormat="false" ht="15" hidden="false" customHeight="false" outlineLevel="0" collapsed="false">
      <c r="A18" s="19"/>
      <c r="B18" s="19"/>
      <c r="C18" s="19"/>
      <c r="D18" s="19"/>
      <c r="E18" s="20"/>
      <c r="F18" s="14" t="str">
        <f aca="false">IF($A18="","",IF((COUNTIFS(Task!$A$5:$A$404,$A18,Task!$C$5:$C$404,F$3)-COUNTIFS(Task!$A$5:$A$404,$A18,Task!$C$5:$C$404,F$3,Task!$K$5:$K$404,"Không áp dụng"))=0,"–",IF(COUNTIFS(Task!$A$5:$A$404,$A18,Task!$C$5:$C$404,F$3,Task!$K$5:$K$404,"Hoàn thành")=(COUNTIFS(Task!$A$5:$A$404,$A18,Task!$C$5:$C$404,F$3)-COUNTIFS(Task!$A$5:$A$404,$A18,Task!$C$5:$C$404,F$3,Task!$K$5:$K$404,"Không áp dụng")),"Xong",IF(COUNTIFS(Task!$A$5:$A$404,$A18,Task!$C$5:$C$404,F$3,Task!$K$5:$K$404,"Bị chặn")&gt;0,"Bị chặn",IF(COUNTIFS(Task!$A$5:$A$404,$A18,Task!$C$5:$C$404,F$3,Task!$K$5:$K$404,"Hoàn thành")+COUNTIFS(Task!$A$5:$A$404,$A18,Task!$C$5:$C$404,F$3,Task!$K$5:$K$404,"Đang làm")&gt;0,"Đang làm","Chưa")))))</f>
        <v/>
      </c>
      <c r="G18" s="14" t="str">
        <f aca="false">IF($A18="","",IF((COUNTIFS(Task!$A$5:$A$404,$A18,Task!$C$5:$C$404,G$3)-COUNTIFS(Task!$A$5:$A$404,$A18,Task!$C$5:$C$404,G$3,Task!$K$5:$K$404,"Không áp dụng"))=0,"–",IF(COUNTIFS(Task!$A$5:$A$404,$A18,Task!$C$5:$C$404,G$3,Task!$K$5:$K$404,"Hoàn thành")=(COUNTIFS(Task!$A$5:$A$404,$A18,Task!$C$5:$C$404,G$3)-COUNTIFS(Task!$A$5:$A$404,$A18,Task!$C$5:$C$404,G$3,Task!$K$5:$K$404,"Không áp dụng")),"Xong",IF(COUNTIFS(Task!$A$5:$A$404,$A18,Task!$C$5:$C$404,G$3,Task!$K$5:$K$404,"Bị chặn")&gt;0,"Bị chặn",IF(COUNTIFS(Task!$A$5:$A$404,$A18,Task!$C$5:$C$404,G$3,Task!$K$5:$K$404,"Hoàn thành")+COUNTIFS(Task!$A$5:$A$404,$A18,Task!$C$5:$C$404,G$3,Task!$K$5:$K$404,"Đang làm")&gt;0,"Đang làm","Chưa")))))</f>
        <v/>
      </c>
      <c r="H18" s="14" t="str">
        <f aca="false">IF($A18="","",IF((COUNTIFS(Task!$A$5:$A$404,$A18,Task!$C$5:$C$404,H$3)-COUNTIFS(Task!$A$5:$A$404,$A18,Task!$C$5:$C$404,H$3,Task!$K$5:$K$404,"Không áp dụng"))=0,"–",IF(COUNTIFS(Task!$A$5:$A$404,$A18,Task!$C$5:$C$404,H$3,Task!$K$5:$K$404,"Hoàn thành")=(COUNTIFS(Task!$A$5:$A$404,$A18,Task!$C$5:$C$404,H$3)-COUNTIFS(Task!$A$5:$A$404,$A18,Task!$C$5:$C$404,H$3,Task!$K$5:$K$404,"Không áp dụng")),"Xong",IF(COUNTIFS(Task!$A$5:$A$404,$A18,Task!$C$5:$C$404,H$3,Task!$K$5:$K$404,"Bị chặn")&gt;0,"Bị chặn",IF(COUNTIFS(Task!$A$5:$A$404,$A18,Task!$C$5:$C$404,H$3,Task!$K$5:$K$404,"Hoàn thành")+COUNTIFS(Task!$A$5:$A$404,$A18,Task!$C$5:$C$404,H$3,Task!$K$5:$K$404,"Đang làm")&gt;0,"Đang làm","Chưa")))))</f>
        <v/>
      </c>
      <c r="I18" s="14" t="str">
        <f aca="false">IF($A18="","",IF((COUNTIFS(Task!$A$5:$A$404,$A18,Task!$C$5:$C$404,I$3)-COUNTIFS(Task!$A$5:$A$404,$A18,Task!$C$5:$C$404,I$3,Task!$K$5:$K$404,"Không áp dụng"))=0,"–",IF(COUNTIFS(Task!$A$5:$A$404,$A18,Task!$C$5:$C$404,I$3,Task!$K$5:$K$404,"Hoàn thành")=(COUNTIFS(Task!$A$5:$A$404,$A18,Task!$C$5:$C$404,I$3)-COUNTIFS(Task!$A$5:$A$404,$A18,Task!$C$5:$C$404,I$3,Task!$K$5:$K$404,"Không áp dụng")),"Xong",IF(COUNTIFS(Task!$A$5:$A$404,$A18,Task!$C$5:$C$404,I$3,Task!$K$5:$K$404,"Bị chặn")&gt;0,"Bị chặn",IF(COUNTIFS(Task!$A$5:$A$404,$A18,Task!$C$5:$C$404,I$3,Task!$K$5:$K$404,"Hoàn thành")+COUNTIFS(Task!$A$5:$A$404,$A18,Task!$C$5:$C$404,I$3,Task!$K$5:$K$404,"Đang làm")&gt;0,"Đang làm","Chưa")))))</f>
        <v/>
      </c>
      <c r="J18" s="14" t="str">
        <f aca="false">IF($A18="","",IF((COUNTIFS(Task!$A$5:$A$404,$A18,Task!$C$5:$C$404,J$3)-COUNTIFS(Task!$A$5:$A$404,$A18,Task!$C$5:$C$404,J$3,Task!$K$5:$K$404,"Không áp dụng"))=0,"–",IF(COUNTIFS(Task!$A$5:$A$404,$A18,Task!$C$5:$C$404,J$3,Task!$K$5:$K$404,"Hoàn thành")=(COUNTIFS(Task!$A$5:$A$404,$A18,Task!$C$5:$C$404,J$3)-COUNTIFS(Task!$A$5:$A$404,$A18,Task!$C$5:$C$404,J$3,Task!$K$5:$K$404,"Không áp dụng")),"Xong",IF(COUNTIFS(Task!$A$5:$A$404,$A18,Task!$C$5:$C$404,J$3,Task!$K$5:$K$404,"Bị chặn")&gt;0,"Bị chặn",IF(COUNTIFS(Task!$A$5:$A$404,$A18,Task!$C$5:$C$404,J$3,Task!$K$5:$K$404,"Hoàn thành")+COUNTIFS(Task!$A$5:$A$404,$A18,Task!$C$5:$C$404,J$3,Task!$K$5:$K$404,"Đang làm")&gt;0,"Đang làm","Chưa")))))</f>
        <v/>
      </c>
      <c r="K18" s="14" t="str">
        <f aca="false">IF($A18="","",IF((COUNTIFS(Task!$A$5:$A$404,$A18,Task!$C$5:$C$404,K$3)-COUNTIFS(Task!$A$5:$A$404,$A18,Task!$C$5:$C$404,K$3,Task!$K$5:$K$404,"Không áp dụng"))=0,"–",IF(COUNTIFS(Task!$A$5:$A$404,$A18,Task!$C$5:$C$404,K$3,Task!$K$5:$K$404,"Hoàn thành")=(COUNTIFS(Task!$A$5:$A$404,$A18,Task!$C$5:$C$404,K$3)-COUNTIFS(Task!$A$5:$A$404,$A18,Task!$C$5:$C$404,K$3,Task!$K$5:$K$404,"Không áp dụng")),"Xong",IF(COUNTIFS(Task!$A$5:$A$404,$A18,Task!$C$5:$C$404,K$3,Task!$K$5:$K$404,"Bị chặn")&gt;0,"Bị chặn",IF(COUNTIFS(Task!$A$5:$A$404,$A18,Task!$C$5:$C$404,K$3,Task!$K$5:$K$404,"Hoàn thành")+COUNTIFS(Task!$A$5:$A$404,$A18,Task!$C$5:$C$404,K$3,Task!$K$5:$K$404,"Đang làm")&gt;0,"Đang làm","Chưa")))))</f>
        <v/>
      </c>
      <c r="L18" s="14" t="str">
        <f aca="false">IF($A18="","",IF((COUNTIFS(Task!$A$5:$A$404,$A18,Task!$C$5:$C$404,L$3)-COUNTIFS(Task!$A$5:$A$404,$A18,Task!$C$5:$C$404,L$3,Task!$K$5:$K$404,"Không áp dụng"))=0,"–",IF(COUNTIFS(Task!$A$5:$A$404,$A18,Task!$C$5:$C$404,L$3,Task!$K$5:$K$404,"Hoàn thành")=(COUNTIFS(Task!$A$5:$A$404,$A18,Task!$C$5:$C$404,L$3)-COUNTIFS(Task!$A$5:$A$404,$A18,Task!$C$5:$C$404,L$3,Task!$K$5:$K$404,"Không áp dụng")),"Xong",IF(COUNTIFS(Task!$A$5:$A$404,$A18,Task!$C$5:$C$404,L$3,Task!$K$5:$K$404,"Bị chặn")&gt;0,"Bị chặn",IF(COUNTIFS(Task!$A$5:$A$404,$A18,Task!$C$5:$C$404,L$3,Task!$K$5:$K$404,"Hoàn thành")+COUNTIFS(Task!$A$5:$A$404,$A18,Task!$C$5:$C$404,L$3,Task!$K$5:$K$404,"Đang làm")&gt;0,"Đang làm","Chưa")))))</f>
        <v/>
      </c>
      <c r="M18" s="14" t="str">
        <f aca="false">IF($A18="","",IF((COUNTIFS(Task!$A$5:$A$404,$A18,Task!$C$5:$C$404,M$3)-COUNTIFS(Task!$A$5:$A$404,$A18,Task!$C$5:$C$404,M$3,Task!$K$5:$K$404,"Không áp dụng"))=0,"–",IF(COUNTIFS(Task!$A$5:$A$404,$A18,Task!$C$5:$C$404,M$3,Task!$K$5:$K$404,"Hoàn thành")=(COUNTIFS(Task!$A$5:$A$404,$A18,Task!$C$5:$C$404,M$3)-COUNTIFS(Task!$A$5:$A$404,$A18,Task!$C$5:$C$404,M$3,Task!$K$5:$K$404,"Không áp dụng")),"Xong",IF(COUNTIFS(Task!$A$5:$A$404,$A18,Task!$C$5:$C$404,M$3,Task!$K$5:$K$404,"Bị chặn")&gt;0,"Bị chặn",IF(COUNTIFS(Task!$A$5:$A$404,$A18,Task!$C$5:$C$404,M$3,Task!$K$5:$K$404,"Hoàn thành")+COUNTIFS(Task!$A$5:$A$404,$A18,Task!$C$5:$C$404,M$3,Task!$K$5:$K$404,"Đang làm")&gt;0,"Đang làm","Chưa")))))</f>
        <v/>
      </c>
      <c r="N18" s="14" t="str">
        <f aca="false">IF($A18="","",IF(F18&lt;&gt;"Xong",1,IF(G18&lt;&gt;"Xong",2,IF(H18&lt;&gt;"Xong",3,IF(I18&lt;&gt;"Xong",4,IF(J18&lt;&gt;"Xong",5,IF(K18&lt;&gt;"Xong",6,IF(L18&lt;&gt;"Xong",7,IF(M18&lt;&gt;"Xong",8,9)))))))))</f>
        <v/>
      </c>
      <c r="O18" s="14" t="str">
        <f aca="false">IF($A18="","",IF($N18=9,"Hoàn tất",INDEX('Quy trình'!$B$5:$B$12,$N18)))</f>
        <v/>
      </c>
      <c r="P18" s="14" t="str">
        <f aca="false">IF($A18="","",COUNTIFS(Task!$A$5:$A$404,$A18)-COUNTIFS(Task!$A$5:$A$404,$A18,Task!$K$5:$K$404,"Không áp dụng"))</f>
        <v/>
      </c>
      <c r="Q18" s="14" t="str">
        <f aca="false">IF($A18="","",COUNTIFS(Task!$A$5:$A$404,$A18,Task!$K$5:$K$404,"Hoàn thành"))</f>
        <v/>
      </c>
      <c r="R18" s="16" t="str">
        <f aca="false">IF($A18="","",Q18/MAX(P18,COUNTA('Mẫu task'!$A$5:$A$64)))</f>
        <v/>
      </c>
      <c r="S18" s="14" t="str">
        <f aca="false">IF($A18="","",SUMIFS(Task!$O$5:$O$404,Task!$A$5:$A$404,$A18))</f>
        <v/>
      </c>
      <c r="T18" s="14" t="str">
        <f aca="false">IF($A18="","",COUNTIFS(Task!$A$5:$A$404,$A18,Task!$K$5:$K$404,"Bị chặn"))</f>
        <v/>
      </c>
      <c r="U18" s="14" t="str">
        <f aca="false">IF($A18="","",IF(P18=0,"Chưa có task",IF(T18&gt;0,"Bị chặn",IF(S18&gt;0,"Có việc trễ",IF(N18=9,"Hoàn tất","Đúng tiến độ")))))</f>
        <v/>
      </c>
      <c r="V18" s="14" t="str">
        <f aca="false">IF($A18="","",IFERROR(INDEX('Chấm điểm'!$D$16:$M$16,MATCH($A18,'Chấm điểm'!$D$4:$M$4,0)),""))</f>
        <v/>
      </c>
    </row>
    <row r="19" customFormat="false" ht="15" hidden="false" customHeight="false" outlineLevel="0" collapsed="false">
      <c r="A19" s="19"/>
      <c r="B19" s="19"/>
      <c r="C19" s="19"/>
      <c r="D19" s="19"/>
      <c r="E19" s="20"/>
      <c r="F19" s="14" t="str">
        <f aca="false">IF($A19="","",IF((COUNTIFS(Task!$A$5:$A$404,$A19,Task!$C$5:$C$404,F$3)-COUNTIFS(Task!$A$5:$A$404,$A19,Task!$C$5:$C$404,F$3,Task!$K$5:$K$404,"Không áp dụng"))=0,"–",IF(COUNTIFS(Task!$A$5:$A$404,$A19,Task!$C$5:$C$404,F$3,Task!$K$5:$K$404,"Hoàn thành")=(COUNTIFS(Task!$A$5:$A$404,$A19,Task!$C$5:$C$404,F$3)-COUNTIFS(Task!$A$5:$A$404,$A19,Task!$C$5:$C$404,F$3,Task!$K$5:$K$404,"Không áp dụng")),"Xong",IF(COUNTIFS(Task!$A$5:$A$404,$A19,Task!$C$5:$C$404,F$3,Task!$K$5:$K$404,"Bị chặn")&gt;0,"Bị chặn",IF(COUNTIFS(Task!$A$5:$A$404,$A19,Task!$C$5:$C$404,F$3,Task!$K$5:$K$404,"Hoàn thành")+COUNTIFS(Task!$A$5:$A$404,$A19,Task!$C$5:$C$404,F$3,Task!$K$5:$K$404,"Đang làm")&gt;0,"Đang làm","Chưa")))))</f>
        <v/>
      </c>
      <c r="G19" s="14" t="str">
        <f aca="false">IF($A19="","",IF((COUNTIFS(Task!$A$5:$A$404,$A19,Task!$C$5:$C$404,G$3)-COUNTIFS(Task!$A$5:$A$404,$A19,Task!$C$5:$C$404,G$3,Task!$K$5:$K$404,"Không áp dụng"))=0,"–",IF(COUNTIFS(Task!$A$5:$A$404,$A19,Task!$C$5:$C$404,G$3,Task!$K$5:$K$404,"Hoàn thành")=(COUNTIFS(Task!$A$5:$A$404,$A19,Task!$C$5:$C$404,G$3)-COUNTIFS(Task!$A$5:$A$404,$A19,Task!$C$5:$C$404,G$3,Task!$K$5:$K$404,"Không áp dụng")),"Xong",IF(COUNTIFS(Task!$A$5:$A$404,$A19,Task!$C$5:$C$404,G$3,Task!$K$5:$K$404,"Bị chặn")&gt;0,"Bị chặn",IF(COUNTIFS(Task!$A$5:$A$404,$A19,Task!$C$5:$C$404,G$3,Task!$K$5:$K$404,"Hoàn thành")+COUNTIFS(Task!$A$5:$A$404,$A19,Task!$C$5:$C$404,G$3,Task!$K$5:$K$404,"Đang làm")&gt;0,"Đang làm","Chưa")))))</f>
        <v/>
      </c>
      <c r="H19" s="14" t="str">
        <f aca="false">IF($A19="","",IF((COUNTIFS(Task!$A$5:$A$404,$A19,Task!$C$5:$C$404,H$3)-COUNTIFS(Task!$A$5:$A$404,$A19,Task!$C$5:$C$404,H$3,Task!$K$5:$K$404,"Không áp dụng"))=0,"–",IF(COUNTIFS(Task!$A$5:$A$404,$A19,Task!$C$5:$C$404,H$3,Task!$K$5:$K$404,"Hoàn thành")=(COUNTIFS(Task!$A$5:$A$404,$A19,Task!$C$5:$C$404,H$3)-COUNTIFS(Task!$A$5:$A$404,$A19,Task!$C$5:$C$404,H$3,Task!$K$5:$K$404,"Không áp dụng")),"Xong",IF(COUNTIFS(Task!$A$5:$A$404,$A19,Task!$C$5:$C$404,H$3,Task!$K$5:$K$404,"Bị chặn")&gt;0,"Bị chặn",IF(COUNTIFS(Task!$A$5:$A$404,$A19,Task!$C$5:$C$404,H$3,Task!$K$5:$K$404,"Hoàn thành")+COUNTIFS(Task!$A$5:$A$404,$A19,Task!$C$5:$C$404,H$3,Task!$K$5:$K$404,"Đang làm")&gt;0,"Đang làm","Chưa")))))</f>
        <v/>
      </c>
      <c r="I19" s="14" t="str">
        <f aca="false">IF($A19="","",IF((COUNTIFS(Task!$A$5:$A$404,$A19,Task!$C$5:$C$404,I$3)-COUNTIFS(Task!$A$5:$A$404,$A19,Task!$C$5:$C$404,I$3,Task!$K$5:$K$404,"Không áp dụng"))=0,"–",IF(COUNTIFS(Task!$A$5:$A$404,$A19,Task!$C$5:$C$404,I$3,Task!$K$5:$K$404,"Hoàn thành")=(COUNTIFS(Task!$A$5:$A$404,$A19,Task!$C$5:$C$404,I$3)-COUNTIFS(Task!$A$5:$A$404,$A19,Task!$C$5:$C$404,I$3,Task!$K$5:$K$404,"Không áp dụng")),"Xong",IF(COUNTIFS(Task!$A$5:$A$404,$A19,Task!$C$5:$C$404,I$3,Task!$K$5:$K$404,"Bị chặn")&gt;0,"Bị chặn",IF(COUNTIFS(Task!$A$5:$A$404,$A19,Task!$C$5:$C$404,I$3,Task!$K$5:$K$404,"Hoàn thành")+COUNTIFS(Task!$A$5:$A$404,$A19,Task!$C$5:$C$404,I$3,Task!$K$5:$K$404,"Đang làm")&gt;0,"Đang làm","Chưa")))))</f>
        <v/>
      </c>
      <c r="J19" s="14" t="str">
        <f aca="false">IF($A19="","",IF((COUNTIFS(Task!$A$5:$A$404,$A19,Task!$C$5:$C$404,J$3)-COUNTIFS(Task!$A$5:$A$404,$A19,Task!$C$5:$C$404,J$3,Task!$K$5:$K$404,"Không áp dụng"))=0,"–",IF(COUNTIFS(Task!$A$5:$A$404,$A19,Task!$C$5:$C$404,J$3,Task!$K$5:$K$404,"Hoàn thành")=(COUNTIFS(Task!$A$5:$A$404,$A19,Task!$C$5:$C$404,J$3)-COUNTIFS(Task!$A$5:$A$404,$A19,Task!$C$5:$C$404,J$3,Task!$K$5:$K$404,"Không áp dụng")),"Xong",IF(COUNTIFS(Task!$A$5:$A$404,$A19,Task!$C$5:$C$404,J$3,Task!$K$5:$K$404,"Bị chặn")&gt;0,"Bị chặn",IF(COUNTIFS(Task!$A$5:$A$404,$A19,Task!$C$5:$C$404,J$3,Task!$K$5:$K$404,"Hoàn thành")+COUNTIFS(Task!$A$5:$A$404,$A19,Task!$C$5:$C$404,J$3,Task!$K$5:$K$404,"Đang làm")&gt;0,"Đang làm","Chưa")))))</f>
        <v/>
      </c>
      <c r="K19" s="14" t="str">
        <f aca="false">IF($A19="","",IF((COUNTIFS(Task!$A$5:$A$404,$A19,Task!$C$5:$C$404,K$3)-COUNTIFS(Task!$A$5:$A$404,$A19,Task!$C$5:$C$404,K$3,Task!$K$5:$K$404,"Không áp dụng"))=0,"–",IF(COUNTIFS(Task!$A$5:$A$404,$A19,Task!$C$5:$C$404,K$3,Task!$K$5:$K$404,"Hoàn thành")=(COUNTIFS(Task!$A$5:$A$404,$A19,Task!$C$5:$C$404,K$3)-COUNTIFS(Task!$A$5:$A$404,$A19,Task!$C$5:$C$404,K$3,Task!$K$5:$K$404,"Không áp dụng")),"Xong",IF(COUNTIFS(Task!$A$5:$A$404,$A19,Task!$C$5:$C$404,K$3,Task!$K$5:$K$404,"Bị chặn")&gt;0,"Bị chặn",IF(COUNTIFS(Task!$A$5:$A$404,$A19,Task!$C$5:$C$404,K$3,Task!$K$5:$K$404,"Hoàn thành")+COUNTIFS(Task!$A$5:$A$404,$A19,Task!$C$5:$C$404,K$3,Task!$K$5:$K$404,"Đang làm")&gt;0,"Đang làm","Chưa")))))</f>
        <v/>
      </c>
      <c r="L19" s="14" t="str">
        <f aca="false">IF($A19="","",IF((COUNTIFS(Task!$A$5:$A$404,$A19,Task!$C$5:$C$404,L$3)-COUNTIFS(Task!$A$5:$A$404,$A19,Task!$C$5:$C$404,L$3,Task!$K$5:$K$404,"Không áp dụng"))=0,"–",IF(COUNTIFS(Task!$A$5:$A$404,$A19,Task!$C$5:$C$404,L$3,Task!$K$5:$K$404,"Hoàn thành")=(COUNTIFS(Task!$A$5:$A$404,$A19,Task!$C$5:$C$404,L$3)-COUNTIFS(Task!$A$5:$A$404,$A19,Task!$C$5:$C$404,L$3,Task!$K$5:$K$404,"Không áp dụng")),"Xong",IF(COUNTIFS(Task!$A$5:$A$404,$A19,Task!$C$5:$C$404,L$3,Task!$K$5:$K$404,"Bị chặn")&gt;0,"Bị chặn",IF(COUNTIFS(Task!$A$5:$A$404,$A19,Task!$C$5:$C$404,L$3,Task!$K$5:$K$404,"Hoàn thành")+COUNTIFS(Task!$A$5:$A$404,$A19,Task!$C$5:$C$404,L$3,Task!$K$5:$K$404,"Đang làm")&gt;0,"Đang làm","Chưa")))))</f>
        <v/>
      </c>
      <c r="M19" s="14" t="str">
        <f aca="false">IF($A19="","",IF((COUNTIFS(Task!$A$5:$A$404,$A19,Task!$C$5:$C$404,M$3)-COUNTIFS(Task!$A$5:$A$404,$A19,Task!$C$5:$C$404,M$3,Task!$K$5:$K$404,"Không áp dụng"))=0,"–",IF(COUNTIFS(Task!$A$5:$A$404,$A19,Task!$C$5:$C$404,M$3,Task!$K$5:$K$404,"Hoàn thành")=(COUNTIFS(Task!$A$5:$A$404,$A19,Task!$C$5:$C$404,M$3)-COUNTIFS(Task!$A$5:$A$404,$A19,Task!$C$5:$C$404,M$3,Task!$K$5:$K$404,"Không áp dụng")),"Xong",IF(COUNTIFS(Task!$A$5:$A$404,$A19,Task!$C$5:$C$404,M$3,Task!$K$5:$K$404,"Bị chặn")&gt;0,"Bị chặn",IF(COUNTIFS(Task!$A$5:$A$404,$A19,Task!$C$5:$C$404,M$3,Task!$K$5:$K$404,"Hoàn thành")+COUNTIFS(Task!$A$5:$A$404,$A19,Task!$C$5:$C$404,M$3,Task!$K$5:$K$404,"Đang làm")&gt;0,"Đang làm","Chưa")))))</f>
        <v/>
      </c>
      <c r="N19" s="14" t="str">
        <f aca="false">IF($A19="","",IF(F19&lt;&gt;"Xong",1,IF(G19&lt;&gt;"Xong",2,IF(H19&lt;&gt;"Xong",3,IF(I19&lt;&gt;"Xong",4,IF(J19&lt;&gt;"Xong",5,IF(K19&lt;&gt;"Xong",6,IF(L19&lt;&gt;"Xong",7,IF(M19&lt;&gt;"Xong",8,9)))))))))</f>
        <v/>
      </c>
      <c r="O19" s="14" t="str">
        <f aca="false">IF($A19="","",IF($N19=9,"Hoàn tất",INDEX('Quy trình'!$B$5:$B$12,$N19)))</f>
        <v/>
      </c>
      <c r="P19" s="14" t="str">
        <f aca="false">IF($A19="","",COUNTIFS(Task!$A$5:$A$404,$A19)-COUNTIFS(Task!$A$5:$A$404,$A19,Task!$K$5:$K$404,"Không áp dụng"))</f>
        <v/>
      </c>
      <c r="Q19" s="14" t="str">
        <f aca="false">IF($A19="","",COUNTIFS(Task!$A$5:$A$404,$A19,Task!$K$5:$K$404,"Hoàn thành"))</f>
        <v/>
      </c>
      <c r="R19" s="16" t="str">
        <f aca="false">IF($A19="","",Q19/MAX(P19,COUNTA('Mẫu task'!$A$5:$A$64)))</f>
        <v/>
      </c>
      <c r="S19" s="14" t="str">
        <f aca="false">IF($A19="","",SUMIFS(Task!$O$5:$O$404,Task!$A$5:$A$404,$A19))</f>
        <v/>
      </c>
      <c r="T19" s="14" t="str">
        <f aca="false">IF($A19="","",COUNTIFS(Task!$A$5:$A$404,$A19,Task!$K$5:$K$404,"Bị chặn"))</f>
        <v/>
      </c>
      <c r="U19" s="14" t="str">
        <f aca="false">IF($A19="","",IF(P19=0,"Chưa có task",IF(T19&gt;0,"Bị chặn",IF(S19&gt;0,"Có việc trễ",IF(N19=9,"Hoàn tất","Đúng tiến độ")))))</f>
        <v/>
      </c>
      <c r="V19" s="14" t="str">
        <f aca="false">IF($A19="","",IFERROR(INDEX('Chấm điểm'!$D$16:$M$16,MATCH($A19,'Chấm điểm'!$D$4:$M$4,0)),""))</f>
        <v/>
      </c>
    </row>
    <row r="20" customFormat="false" ht="15" hidden="false" customHeight="false" outlineLevel="0" collapsed="false">
      <c r="A20" s="19"/>
      <c r="B20" s="19"/>
      <c r="C20" s="19"/>
      <c r="D20" s="19"/>
      <c r="E20" s="20"/>
      <c r="F20" s="14" t="str">
        <f aca="false">IF($A20="","",IF((COUNTIFS(Task!$A$5:$A$404,$A20,Task!$C$5:$C$404,F$3)-COUNTIFS(Task!$A$5:$A$404,$A20,Task!$C$5:$C$404,F$3,Task!$K$5:$K$404,"Không áp dụng"))=0,"–",IF(COUNTIFS(Task!$A$5:$A$404,$A20,Task!$C$5:$C$404,F$3,Task!$K$5:$K$404,"Hoàn thành")=(COUNTIFS(Task!$A$5:$A$404,$A20,Task!$C$5:$C$404,F$3)-COUNTIFS(Task!$A$5:$A$404,$A20,Task!$C$5:$C$404,F$3,Task!$K$5:$K$404,"Không áp dụng")),"Xong",IF(COUNTIFS(Task!$A$5:$A$404,$A20,Task!$C$5:$C$404,F$3,Task!$K$5:$K$404,"Bị chặn")&gt;0,"Bị chặn",IF(COUNTIFS(Task!$A$5:$A$404,$A20,Task!$C$5:$C$404,F$3,Task!$K$5:$K$404,"Hoàn thành")+COUNTIFS(Task!$A$5:$A$404,$A20,Task!$C$5:$C$404,F$3,Task!$K$5:$K$404,"Đang làm")&gt;0,"Đang làm","Chưa")))))</f>
        <v/>
      </c>
      <c r="G20" s="14" t="str">
        <f aca="false">IF($A20="","",IF((COUNTIFS(Task!$A$5:$A$404,$A20,Task!$C$5:$C$404,G$3)-COUNTIFS(Task!$A$5:$A$404,$A20,Task!$C$5:$C$404,G$3,Task!$K$5:$K$404,"Không áp dụng"))=0,"–",IF(COUNTIFS(Task!$A$5:$A$404,$A20,Task!$C$5:$C$404,G$3,Task!$K$5:$K$404,"Hoàn thành")=(COUNTIFS(Task!$A$5:$A$404,$A20,Task!$C$5:$C$404,G$3)-COUNTIFS(Task!$A$5:$A$404,$A20,Task!$C$5:$C$404,G$3,Task!$K$5:$K$404,"Không áp dụng")),"Xong",IF(COUNTIFS(Task!$A$5:$A$404,$A20,Task!$C$5:$C$404,G$3,Task!$K$5:$K$404,"Bị chặn")&gt;0,"Bị chặn",IF(COUNTIFS(Task!$A$5:$A$404,$A20,Task!$C$5:$C$404,G$3,Task!$K$5:$K$404,"Hoàn thành")+COUNTIFS(Task!$A$5:$A$404,$A20,Task!$C$5:$C$404,G$3,Task!$K$5:$K$404,"Đang làm")&gt;0,"Đang làm","Chưa")))))</f>
        <v/>
      </c>
      <c r="H20" s="14" t="str">
        <f aca="false">IF($A20="","",IF((COUNTIFS(Task!$A$5:$A$404,$A20,Task!$C$5:$C$404,H$3)-COUNTIFS(Task!$A$5:$A$404,$A20,Task!$C$5:$C$404,H$3,Task!$K$5:$K$404,"Không áp dụng"))=0,"–",IF(COUNTIFS(Task!$A$5:$A$404,$A20,Task!$C$5:$C$404,H$3,Task!$K$5:$K$404,"Hoàn thành")=(COUNTIFS(Task!$A$5:$A$404,$A20,Task!$C$5:$C$404,H$3)-COUNTIFS(Task!$A$5:$A$404,$A20,Task!$C$5:$C$404,H$3,Task!$K$5:$K$404,"Không áp dụng")),"Xong",IF(COUNTIFS(Task!$A$5:$A$404,$A20,Task!$C$5:$C$404,H$3,Task!$K$5:$K$404,"Bị chặn")&gt;0,"Bị chặn",IF(COUNTIFS(Task!$A$5:$A$404,$A20,Task!$C$5:$C$404,H$3,Task!$K$5:$K$404,"Hoàn thành")+COUNTIFS(Task!$A$5:$A$404,$A20,Task!$C$5:$C$404,H$3,Task!$K$5:$K$404,"Đang làm")&gt;0,"Đang làm","Chưa")))))</f>
        <v/>
      </c>
      <c r="I20" s="14" t="str">
        <f aca="false">IF($A20="","",IF((COUNTIFS(Task!$A$5:$A$404,$A20,Task!$C$5:$C$404,I$3)-COUNTIFS(Task!$A$5:$A$404,$A20,Task!$C$5:$C$404,I$3,Task!$K$5:$K$404,"Không áp dụng"))=0,"–",IF(COUNTIFS(Task!$A$5:$A$404,$A20,Task!$C$5:$C$404,I$3,Task!$K$5:$K$404,"Hoàn thành")=(COUNTIFS(Task!$A$5:$A$404,$A20,Task!$C$5:$C$404,I$3)-COUNTIFS(Task!$A$5:$A$404,$A20,Task!$C$5:$C$404,I$3,Task!$K$5:$K$404,"Không áp dụng")),"Xong",IF(COUNTIFS(Task!$A$5:$A$404,$A20,Task!$C$5:$C$404,I$3,Task!$K$5:$K$404,"Bị chặn")&gt;0,"Bị chặn",IF(COUNTIFS(Task!$A$5:$A$404,$A20,Task!$C$5:$C$404,I$3,Task!$K$5:$K$404,"Hoàn thành")+COUNTIFS(Task!$A$5:$A$404,$A20,Task!$C$5:$C$404,I$3,Task!$K$5:$K$404,"Đang làm")&gt;0,"Đang làm","Chưa")))))</f>
        <v/>
      </c>
      <c r="J20" s="14" t="str">
        <f aca="false">IF($A20="","",IF((COUNTIFS(Task!$A$5:$A$404,$A20,Task!$C$5:$C$404,J$3)-COUNTIFS(Task!$A$5:$A$404,$A20,Task!$C$5:$C$404,J$3,Task!$K$5:$K$404,"Không áp dụng"))=0,"–",IF(COUNTIFS(Task!$A$5:$A$404,$A20,Task!$C$5:$C$404,J$3,Task!$K$5:$K$404,"Hoàn thành")=(COUNTIFS(Task!$A$5:$A$404,$A20,Task!$C$5:$C$404,J$3)-COUNTIFS(Task!$A$5:$A$404,$A20,Task!$C$5:$C$404,J$3,Task!$K$5:$K$404,"Không áp dụng")),"Xong",IF(COUNTIFS(Task!$A$5:$A$404,$A20,Task!$C$5:$C$404,J$3,Task!$K$5:$K$404,"Bị chặn")&gt;0,"Bị chặn",IF(COUNTIFS(Task!$A$5:$A$404,$A20,Task!$C$5:$C$404,J$3,Task!$K$5:$K$404,"Hoàn thành")+COUNTIFS(Task!$A$5:$A$404,$A20,Task!$C$5:$C$404,J$3,Task!$K$5:$K$404,"Đang làm")&gt;0,"Đang làm","Chưa")))))</f>
        <v/>
      </c>
      <c r="K20" s="14" t="str">
        <f aca="false">IF($A20="","",IF((COUNTIFS(Task!$A$5:$A$404,$A20,Task!$C$5:$C$404,K$3)-COUNTIFS(Task!$A$5:$A$404,$A20,Task!$C$5:$C$404,K$3,Task!$K$5:$K$404,"Không áp dụng"))=0,"–",IF(COUNTIFS(Task!$A$5:$A$404,$A20,Task!$C$5:$C$404,K$3,Task!$K$5:$K$404,"Hoàn thành")=(COUNTIFS(Task!$A$5:$A$404,$A20,Task!$C$5:$C$404,K$3)-COUNTIFS(Task!$A$5:$A$404,$A20,Task!$C$5:$C$404,K$3,Task!$K$5:$K$404,"Không áp dụng")),"Xong",IF(COUNTIFS(Task!$A$5:$A$404,$A20,Task!$C$5:$C$404,K$3,Task!$K$5:$K$404,"Bị chặn")&gt;0,"Bị chặn",IF(COUNTIFS(Task!$A$5:$A$404,$A20,Task!$C$5:$C$404,K$3,Task!$K$5:$K$404,"Hoàn thành")+COUNTIFS(Task!$A$5:$A$404,$A20,Task!$C$5:$C$404,K$3,Task!$K$5:$K$404,"Đang làm")&gt;0,"Đang làm","Chưa")))))</f>
        <v/>
      </c>
      <c r="L20" s="14" t="str">
        <f aca="false">IF($A20="","",IF((COUNTIFS(Task!$A$5:$A$404,$A20,Task!$C$5:$C$404,L$3)-COUNTIFS(Task!$A$5:$A$404,$A20,Task!$C$5:$C$404,L$3,Task!$K$5:$K$404,"Không áp dụng"))=0,"–",IF(COUNTIFS(Task!$A$5:$A$404,$A20,Task!$C$5:$C$404,L$3,Task!$K$5:$K$404,"Hoàn thành")=(COUNTIFS(Task!$A$5:$A$404,$A20,Task!$C$5:$C$404,L$3)-COUNTIFS(Task!$A$5:$A$404,$A20,Task!$C$5:$C$404,L$3,Task!$K$5:$K$404,"Không áp dụng")),"Xong",IF(COUNTIFS(Task!$A$5:$A$404,$A20,Task!$C$5:$C$404,L$3,Task!$K$5:$K$404,"Bị chặn")&gt;0,"Bị chặn",IF(COUNTIFS(Task!$A$5:$A$404,$A20,Task!$C$5:$C$404,L$3,Task!$K$5:$K$404,"Hoàn thành")+COUNTIFS(Task!$A$5:$A$404,$A20,Task!$C$5:$C$404,L$3,Task!$K$5:$K$404,"Đang làm")&gt;0,"Đang làm","Chưa")))))</f>
        <v/>
      </c>
      <c r="M20" s="14" t="str">
        <f aca="false">IF($A20="","",IF((COUNTIFS(Task!$A$5:$A$404,$A20,Task!$C$5:$C$404,M$3)-COUNTIFS(Task!$A$5:$A$404,$A20,Task!$C$5:$C$404,M$3,Task!$K$5:$K$404,"Không áp dụng"))=0,"–",IF(COUNTIFS(Task!$A$5:$A$404,$A20,Task!$C$5:$C$404,M$3,Task!$K$5:$K$404,"Hoàn thành")=(COUNTIFS(Task!$A$5:$A$404,$A20,Task!$C$5:$C$404,M$3)-COUNTIFS(Task!$A$5:$A$404,$A20,Task!$C$5:$C$404,M$3,Task!$K$5:$K$404,"Không áp dụng")),"Xong",IF(COUNTIFS(Task!$A$5:$A$404,$A20,Task!$C$5:$C$404,M$3,Task!$K$5:$K$404,"Bị chặn")&gt;0,"Bị chặn",IF(COUNTIFS(Task!$A$5:$A$404,$A20,Task!$C$5:$C$404,M$3,Task!$K$5:$K$404,"Hoàn thành")+COUNTIFS(Task!$A$5:$A$404,$A20,Task!$C$5:$C$404,M$3,Task!$K$5:$K$404,"Đang làm")&gt;0,"Đang làm","Chưa")))))</f>
        <v/>
      </c>
      <c r="N20" s="14" t="str">
        <f aca="false">IF($A20="","",IF(F20&lt;&gt;"Xong",1,IF(G20&lt;&gt;"Xong",2,IF(H20&lt;&gt;"Xong",3,IF(I20&lt;&gt;"Xong",4,IF(J20&lt;&gt;"Xong",5,IF(K20&lt;&gt;"Xong",6,IF(L20&lt;&gt;"Xong",7,IF(M20&lt;&gt;"Xong",8,9)))))))))</f>
        <v/>
      </c>
      <c r="O20" s="14" t="str">
        <f aca="false">IF($A20="","",IF($N20=9,"Hoàn tất",INDEX('Quy trình'!$B$5:$B$12,$N20)))</f>
        <v/>
      </c>
      <c r="P20" s="14" t="str">
        <f aca="false">IF($A20="","",COUNTIFS(Task!$A$5:$A$404,$A20)-COUNTIFS(Task!$A$5:$A$404,$A20,Task!$K$5:$K$404,"Không áp dụng"))</f>
        <v/>
      </c>
      <c r="Q20" s="14" t="str">
        <f aca="false">IF($A20="","",COUNTIFS(Task!$A$5:$A$404,$A20,Task!$K$5:$K$404,"Hoàn thành"))</f>
        <v/>
      </c>
      <c r="R20" s="16" t="str">
        <f aca="false">IF($A20="","",Q20/MAX(P20,COUNTA('Mẫu task'!$A$5:$A$64)))</f>
        <v/>
      </c>
      <c r="S20" s="14" t="str">
        <f aca="false">IF($A20="","",SUMIFS(Task!$O$5:$O$404,Task!$A$5:$A$404,$A20))</f>
        <v/>
      </c>
      <c r="T20" s="14" t="str">
        <f aca="false">IF($A20="","",COUNTIFS(Task!$A$5:$A$404,$A20,Task!$K$5:$K$404,"Bị chặn"))</f>
        <v/>
      </c>
      <c r="U20" s="14" t="str">
        <f aca="false">IF($A20="","",IF(P20=0,"Chưa có task",IF(T20&gt;0,"Bị chặn",IF(S20&gt;0,"Có việc trễ",IF(N20=9,"Hoàn tất","Đúng tiến độ")))))</f>
        <v/>
      </c>
      <c r="V20" s="14" t="str">
        <f aca="false">IF($A20="","",IFERROR(INDEX('Chấm điểm'!$D$16:$M$16,MATCH($A20,'Chấm điểm'!$D$4:$M$4,0)),""))</f>
        <v/>
      </c>
    </row>
    <row r="21" customFormat="false" ht="15" hidden="false" customHeight="false" outlineLevel="0" collapsed="false">
      <c r="A21" s="19"/>
      <c r="B21" s="19"/>
      <c r="C21" s="19"/>
      <c r="D21" s="19"/>
      <c r="E21" s="20"/>
      <c r="F21" s="14" t="str">
        <f aca="false">IF($A21="","",IF((COUNTIFS(Task!$A$5:$A$404,$A21,Task!$C$5:$C$404,F$3)-COUNTIFS(Task!$A$5:$A$404,$A21,Task!$C$5:$C$404,F$3,Task!$K$5:$K$404,"Không áp dụng"))=0,"–",IF(COUNTIFS(Task!$A$5:$A$404,$A21,Task!$C$5:$C$404,F$3,Task!$K$5:$K$404,"Hoàn thành")=(COUNTIFS(Task!$A$5:$A$404,$A21,Task!$C$5:$C$404,F$3)-COUNTIFS(Task!$A$5:$A$404,$A21,Task!$C$5:$C$404,F$3,Task!$K$5:$K$404,"Không áp dụng")),"Xong",IF(COUNTIFS(Task!$A$5:$A$404,$A21,Task!$C$5:$C$404,F$3,Task!$K$5:$K$404,"Bị chặn")&gt;0,"Bị chặn",IF(COUNTIFS(Task!$A$5:$A$404,$A21,Task!$C$5:$C$404,F$3,Task!$K$5:$K$404,"Hoàn thành")+COUNTIFS(Task!$A$5:$A$404,$A21,Task!$C$5:$C$404,F$3,Task!$K$5:$K$404,"Đang làm")&gt;0,"Đang làm","Chưa")))))</f>
        <v/>
      </c>
      <c r="G21" s="14" t="str">
        <f aca="false">IF($A21="","",IF((COUNTIFS(Task!$A$5:$A$404,$A21,Task!$C$5:$C$404,G$3)-COUNTIFS(Task!$A$5:$A$404,$A21,Task!$C$5:$C$404,G$3,Task!$K$5:$K$404,"Không áp dụng"))=0,"–",IF(COUNTIFS(Task!$A$5:$A$404,$A21,Task!$C$5:$C$404,G$3,Task!$K$5:$K$404,"Hoàn thành")=(COUNTIFS(Task!$A$5:$A$404,$A21,Task!$C$5:$C$404,G$3)-COUNTIFS(Task!$A$5:$A$404,$A21,Task!$C$5:$C$404,G$3,Task!$K$5:$K$404,"Không áp dụng")),"Xong",IF(COUNTIFS(Task!$A$5:$A$404,$A21,Task!$C$5:$C$404,G$3,Task!$K$5:$K$404,"Bị chặn")&gt;0,"Bị chặn",IF(COUNTIFS(Task!$A$5:$A$404,$A21,Task!$C$5:$C$404,G$3,Task!$K$5:$K$404,"Hoàn thành")+COUNTIFS(Task!$A$5:$A$404,$A21,Task!$C$5:$C$404,G$3,Task!$K$5:$K$404,"Đang làm")&gt;0,"Đang làm","Chưa")))))</f>
        <v/>
      </c>
      <c r="H21" s="14" t="str">
        <f aca="false">IF($A21="","",IF((COUNTIFS(Task!$A$5:$A$404,$A21,Task!$C$5:$C$404,H$3)-COUNTIFS(Task!$A$5:$A$404,$A21,Task!$C$5:$C$404,H$3,Task!$K$5:$K$404,"Không áp dụng"))=0,"–",IF(COUNTIFS(Task!$A$5:$A$404,$A21,Task!$C$5:$C$404,H$3,Task!$K$5:$K$404,"Hoàn thành")=(COUNTIFS(Task!$A$5:$A$404,$A21,Task!$C$5:$C$404,H$3)-COUNTIFS(Task!$A$5:$A$404,$A21,Task!$C$5:$C$404,H$3,Task!$K$5:$K$404,"Không áp dụng")),"Xong",IF(COUNTIFS(Task!$A$5:$A$404,$A21,Task!$C$5:$C$404,H$3,Task!$K$5:$K$404,"Bị chặn")&gt;0,"Bị chặn",IF(COUNTIFS(Task!$A$5:$A$404,$A21,Task!$C$5:$C$404,H$3,Task!$K$5:$K$404,"Hoàn thành")+COUNTIFS(Task!$A$5:$A$404,$A21,Task!$C$5:$C$404,H$3,Task!$K$5:$K$404,"Đang làm")&gt;0,"Đang làm","Chưa")))))</f>
        <v/>
      </c>
      <c r="I21" s="14" t="str">
        <f aca="false">IF($A21="","",IF((COUNTIFS(Task!$A$5:$A$404,$A21,Task!$C$5:$C$404,I$3)-COUNTIFS(Task!$A$5:$A$404,$A21,Task!$C$5:$C$404,I$3,Task!$K$5:$K$404,"Không áp dụng"))=0,"–",IF(COUNTIFS(Task!$A$5:$A$404,$A21,Task!$C$5:$C$404,I$3,Task!$K$5:$K$404,"Hoàn thành")=(COUNTIFS(Task!$A$5:$A$404,$A21,Task!$C$5:$C$404,I$3)-COUNTIFS(Task!$A$5:$A$404,$A21,Task!$C$5:$C$404,I$3,Task!$K$5:$K$404,"Không áp dụng")),"Xong",IF(COUNTIFS(Task!$A$5:$A$404,$A21,Task!$C$5:$C$404,I$3,Task!$K$5:$K$404,"Bị chặn")&gt;0,"Bị chặn",IF(COUNTIFS(Task!$A$5:$A$404,$A21,Task!$C$5:$C$404,I$3,Task!$K$5:$K$404,"Hoàn thành")+COUNTIFS(Task!$A$5:$A$404,$A21,Task!$C$5:$C$404,I$3,Task!$K$5:$K$404,"Đang làm")&gt;0,"Đang làm","Chưa")))))</f>
        <v/>
      </c>
      <c r="J21" s="14" t="str">
        <f aca="false">IF($A21="","",IF((COUNTIFS(Task!$A$5:$A$404,$A21,Task!$C$5:$C$404,J$3)-COUNTIFS(Task!$A$5:$A$404,$A21,Task!$C$5:$C$404,J$3,Task!$K$5:$K$404,"Không áp dụng"))=0,"–",IF(COUNTIFS(Task!$A$5:$A$404,$A21,Task!$C$5:$C$404,J$3,Task!$K$5:$K$404,"Hoàn thành")=(COUNTIFS(Task!$A$5:$A$404,$A21,Task!$C$5:$C$404,J$3)-COUNTIFS(Task!$A$5:$A$404,$A21,Task!$C$5:$C$404,J$3,Task!$K$5:$K$404,"Không áp dụng")),"Xong",IF(COUNTIFS(Task!$A$5:$A$404,$A21,Task!$C$5:$C$404,J$3,Task!$K$5:$K$404,"Bị chặn")&gt;0,"Bị chặn",IF(COUNTIFS(Task!$A$5:$A$404,$A21,Task!$C$5:$C$404,J$3,Task!$K$5:$K$404,"Hoàn thành")+COUNTIFS(Task!$A$5:$A$404,$A21,Task!$C$5:$C$404,J$3,Task!$K$5:$K$404,"Đang làm")&gt;0,"Đang làm","Chưa")))))</f>
        <v/>
      </c>
      <c r="K21" s="14" t="str">
        <f aca="false">IF($A21="","",IF((COUNTIFS(Task!$A$5:$A$404,$A21,Task!$C$5:$C$404,K$3)-COUNTIFS(Task!$A$5:$A$404,$A21,Task!$C$5:$C$404,K$3,Task!$K$5:$K$404,"Không áp dụng"))=0,"–",IF(COUNTIFS(Task!$A$5:$A$404,$A21,Task!$C$5:$C$404,K$3,Task!$K$5:$K$404,"Hoàn thành")=(COUNTIFS(Task!$A$5:$A$404,$A21,Task!$C$5:$C$404,K$3)-COUNTIFS(Task!$A$5:$A$404,$A21,Task!$C$5:$C$404,K$3,Task!$K$5:$K$404,"Không áp dụng")),"Xong",IF(COUNTIFS(Task!$A$5:$A$404,$A21,Task!$C$5:$C$404,K$3,Task!$K$5:$K$404,"Bị chặn")&gt;0,"Bị chặn",IF(COUNTIFS(Task!$A$5:$A$404,$A21,Task!$C$5:$C$404,K$3,Task!$K$5:$K$404,"Hoàn thành")+COUNTIFS(Task!$A$5:$A$404,$A21,Task!$C$5:$C$404,K$3,Task!$K$5:$K$404,"Đang làm")&gt;0,"Đang làm","Chưa")))))</f>
        <v/>
      </c>
      <c r="L21" s="14" t="str">
        <f aca="false">IF($A21="","",IF((COUNTIFS(Task!$A$5:$A$404,$A21,Task!$C$5:$C$404,L$3)-COUNTIFS(Task!$A$5:$A$404,$A21,Task!$C$5:$C$404,L$3,Task!$K$5:$K$404,"Không áp dụng"))=0,"–",IF(COUNTIFS(Task!$A$5:$A$404,$A21,Task!$C$5:$C$404,L$3,Task!$K$5:$K$404,"Hoàn thành")=(COUNTIFS(Task!$A$5:$A$404,$A21,Task!$C$5:$C$404,L$3)-COUNTIFS(Task!$A$5:$A$404,$A21,Task!$C$5:$C$404,L$3,Task!$K$5:$K$404,"Không áp dụng")),"Xong",IF(COUNTIFS(Task!$A$5:$A$404,$A21,Task!$C$5:$C$404,L$3,Task!$K$5:$K$404,"Bị chặn")&gt;0,"Bị chặn",IF(COUNTIFS(Task!$A$5:$A$404,$A21,Task!$C$5:$C$404,L$3,Task!$K$5:$K$404,"Hoàn thành")+COUNTIFS(Task!$A$5:$A$404,$A21,Task!$C$5:$C$404,L$3,Task!$K$5:$K$404,"Đang làm")&gt;0,"Đang làm","Chưa")))))</f>
        <v/>
      </c>
      <c r="M21" s="14" t="str">
        <f aca="false">IF($A21="","",IF((COUNTIFS(Task!$A$5:$A$404,$A21,Task!$C$5:$C$404,M$3)-COUNTIFS(Task!$A$5:$A$404,$A21,Task!$C$5:$C$404,M$3,Task!$K$5:$K$404,"Không áp dụng"))=0,"–",IF(COUNTIFS(Task!$A$5:$A$404,$A21,Task!$C$5:$C$404,M$3,Task!$K$5:$K$404,"Hoàn thành")=(COUNTIFS(Task!$A$5:$A$404,$A21,Task!$C$5:$C$404,M$3)-COUNTIFS(Task!$A$5:$A$404,$A21,Task!$C$5:$C$404,M$3,Task!$K$5:$K$404,"Không áp dụng")),"Xong",IF(COUNTIFS(Task!$A$5:$A$404,$A21,Task!$C$5:$C$404,M$3,Task!$K$5:$K$404,"Bị chặn")&gt;0,"Bị chặn",IF(COUNTIFS(Task!$A$5:$A$404,$A21,Task!$C$5:$C$404,M$3,Task!$K$5:$K$404,"Hoàn thành")+COUNTIFS(Task!$A$5:$A$404,$A21,Task!$C$5:$C$404,M$3,Task!$K$5:$K$404,"Đang làm")&gt;0,"Đang làm","Chưa")))))</f>
        <v/>
      </c>
      <c r="N21" s="14" t="str">
        <f aca="false">IF($A21="","",IF(F21&lt;&gt;"Xong",1,IF(G21&lt;&gt;"Xong",2,IF(H21&lt;&gt;"Xong",3,IF(I21&lt;&gt;"Xong",4,IF(J21&lt;&gt;"Xong",5,IF(K21&lt;&gt;"Xong",6,IF(L21&lt;&gt;"Xong",7,IF(M21&lt;&gt;"Xong",8,9)))))))))</f>
        <v/>
      </c>
      <c r="O21" s="14" t="str">
        <f aca="false">IF($A21="","",IF($N21=9,"Hoàn tất",INDEX('Quy trình'!$B$5:$B$12,$N21)))</f>
        <v/>
      </c>
      <c r="P21" s="14" t="str">
        <f aca="false">IF($A21="","",COUNTIFS(Task!$A$5:$A$404,$A21)-COUNTIFS(Task!$A$5:$A$404,$A21,Task!$K$5:$K$404,"Không áp dụng"))</f>
        <v/>
      </c>
      <c r="Q21" s="14" t="str">
        <f aca="false">IF($A21="","",COUNTIFS(Task!$A$5:$A$404,$A21,Task!$K$5:$K$404,"Hoàn thành"))</f>
        <v/>
      </c>
      <c r="R21" s="16" t="str">
        <f aca="false">IF($A21="","",Q21/MAX(P21,COUNTA('Mẫu task'!$A$5:$A$64)))</f>
        <v/>
      </c>
      <c r="S21" s="14" t="str">
        <f aca="false">IF($A21="","",SUMIFS(Task!$O$5:$O$404,Task!$A$5:$A$404,$A21))</f>
        <v/>
      </c>
      <c r="T21" s="14" t="str">
        <f aca="false">IF($A21="","",COUNTIFS(Task!$A$5:$A$404,$A21,Task!$K$5:$K$404,"Bị chặn"))</f>
        <v/>
      </c>
      <c r="U21" s="14" t="str">
        <f aca="false">IF($A21="","",IF(P21=0,"Chưa có task",IF(T21&gt;0,"Bị chặn",IF(S21&gt;0,"Có việc trễ",IF(N21=9,"Hoàn tất","Đúng tiến độ")))))</f>
        <v/>
      </c>
      <c r="V21" s="14" t="str">
        <f aca="false">IF($A21="","",IFERROR(INDEX('Chấm điểm'!$D$16:$M$16,MATCH($A21,'Chấm điểm'!$D$4:$M$4,0)),""))</f>
        <v/>
      </c>
    </row>
    <row r="22" customFormat="false" ht="15" hidden="false" customHeight="false" outlineLevel="0" collapsed="false">
      <c r="A22" s="19"/>
      <c r="B22" s="19"/>
      <c r="C22" s="19"/>
      <c r="D22" s="19"/>
      <c r="E22" s="20"/>
      <c r="F22" s="14" t="str">
        <f aca="false">IF($A22="","",IF((COUNTIFS(Task!$A$5:$A$404,$A22,Task!$C$5:$C$404,F$3)-COUNTIFS(Task!$A$5:$A$404,$A22,Task!$C$5:$C$404,F$3,Task!$K$5:$K$404,"Không áp dụng"))=0,"–",IF(COUNTIFS(Task!$A$5:$A$404,$A22,Task!$C$5:$C$404,F$3,Task!$K$5:$K$404,"Hoàn thành")=(COUNTIFS(Task!$A$5:$A$404,$A22,Task!$C$5:$C$404,F$3)-COUNTIFS(Task!$A$5:$A$404,$A22,Task!$C$5:$C$404,F$3,Task!$K$5:$K$404,"Không áp dụng")),"Xong",IF(COUNTIFS(Task!$A$5:$A$404,$A22,Task!$C$5:$C$404,F$3,Task!$K$5:$K$404,"Bị chặn")&gt;0,"Bị chặn",IF(COUNTIFS(Task!$A$5:$A$404,$A22,Task!$C$5:$C$404,F$3,Task!$K$5:$K$404,"Hoàn thành")+COUNTIFS(Task!$A$5:$A$404,$A22,Task!$C$5:$C$404,F$3,Task!$K$5:$K$404,"Đang làm")&gt;0,"Đang làm","Chưa")))))</f>
        <v/>
      </c>
      <c r="G22" s="14" t="str">
        <f aca="false">IF($A22="","",IF((COUNTIFS(Task!$A$5:$A$404,$A22,Task!$C$5:$C$404,G$3)-COUNTIFS(Task!$A$5:$A$404,$A22,Task!$C$5:$C$404,G$3,Task!$K$5:$K$404,"Không áp dụng"))=0,"–",IF(COUNTIFS(Task!$A$5:$A$404,$A22,Task!$C$5:$C$404,G$3,Task!$K$5:$K$404,"Hoàn thành")=(COUNTIFS(Task!$A$5:$A$404,$A22,Task!$C$5:$C$404,G$3)-COUNTIFS(Task!$A$5:$A$404,$A22,Task!$C$5:$C$404,G$3,Task!$K$5:$K$404,"Không áp dụng")),"Xong",IF(COUNTIFS(Task!$A$5:$A$404,$A22,Task!$C$5:$C$404,G$3,Task!$K$5:$K$404,"Bị chặn")&gt;0,"Bị chặn",IF(COUNTIFS(Task!$A$5:$A$404,$A22,Task!$C$5:$C$404,G$3,Task!$K$5:$K$404,"Hoàn thành")+COUNTIFS(Task!$A$5:$A$404,$A22,Task!$C$5:$C$404,G$3,Task!$K$5:$K$404,"Đang làm")&gt;0,"Đang làm","Chưa")))))</f>
        <v/>
      </c>
      <c r="H22" s="14" t="str">
        <f aca="false">IF($A22="","",IF((COUNTIFS(Task!$A$5:$A$404,$A22,Task!$C$5:$C$404,H$3)-COUNTIFS(Task!$A$5:$A$404,$A22,Task!$C$5:$C$404,H$3,Task!$K$5:$K$404,"Không áp dụng"))=0,"–",IF(COUNTIFS(Task!$A$5:$A$404,$A22,Task!$C$5:$C$404,H$3,Task!$K$5:$K$404,"Hoàn thành")=(COUNTIFS(Task!$A$5:$A$404,$A22,Task!$C$5:$C$404,H$3)-COUNTIFS(Task!$A$5:$A$404,$A22,Task!$C$5:$C$404,H$3,Task!$K$5:$K$404,"Không áp dụng")),"Xong",IF(COUNTIFS(Task!$A$5:$A$404,$A22,Task!$C$5:$C$404,H$3,Task!$K$5:$K$404,"Bị chặn")&gt;0,"Bị chặn",IF(COUNTIFS(Task!$A$5:$A$404,$A22,Task!$C$5:$C$404,H$3,Task!$K$5:$K$404,"Hoàn thành")+COUNTIFS(Task!$A$5:$A$404,$A22,Task!$C$5:$C$404,H$3,Task!$K$5:$K$404,"Đang làm")&gt;0,"Đang làm","Chưa")))))</f>
        <v/>
      </c>
      <c r="I22" s="14" t="str">
        <f aca="false">IF($A22="","",IF((COUNTIFS(Task!$A$5:$A$404,$A22,Task!$C$5:$C$404,I$3)-COUNTIFS(Task!$A$5:$A$404,$A22,Task!$C$5:$C$404,I$3,Task!$K$5:$K$404,"Không áp dụng"))=0,"–",IF(COUNTIFS(Task!$A$5:$A$404,$A22,Task!$C$5:$C$404,I$3,Task!$K$5:$K$404,"Hoàn thành")=(COUNTIFS(Task!$A$5:$A$404,$A22,Task!$C$5:$C$404,I$3)-COUNTIFS(Task!$A$5:$A$404,$A22,Task!$C$5:$C$404,I$3,Task!$K$5:$K$404,"Không áp dụng")),"Xong",IF(COUNTIFS(Task!$A$5:$A$404,$A22,Task!$C$5:$C$404,I$3,Task!$K$5:$K$404,"Bị chặn")&gt;0,"Bị chặn",IF(COUNTIFS(Task!$A$5:$A$404,$A22,Task!$C$5:$C$404,I$3,Task!$K$5:$K$404,"Hoàn thành")+COUNTIFS(Task!$A$5:$A$404,$A22,Task!$C$5:$C$404,I$3,Task!$K$5:$K$404,"Đang làm")&gt;0,"Đang làm","Chưa")))))</f>
        <v/>
      </c>
      <c r="J22" s="14" t="str">
        <f aca="false">IF($A22="","",IF((COUNTIFS(Task!$A$5:$A$404,$A22,Task!$C$5:$C$404,J$3)-COUNTIFS(Task!$A$5:$A$404,$A22,Task!$C$5:$C$404,J$3,Task!$K$5:$K$404,"Không áp dụng"))=0,"–",IF(COUNTIFS(Task!$A$5:$A$404,$A22,Task!$C$5:$C$404,J$3,Task!$K$5:$K$404,"Hoàn thành")=(COUNTIFS(Task!$A$5:$A$404,$A22,Task!$C$5:$C$404,J$3)-COUNTIFS(Task!$A$5:$A$404,$A22,Task!$C$5:$C$404,J$3,Task!$K$5:$K$404,"Không áp dụng")),"Xong",IF(COUNTIFS(Task!$A$5:$A$404,$A22,Task!$C$5:$C$404,J$3,Task!$K$5:$K$404,"Bị chặn")&gt;0,"Bị chặn",IF(COUNTIFS(Task!$A$5:$A$404,$A22,Task!$C$5:$C$404,J$3,Task!$K$5:$K$404,"Hoàn thành")+COUNTIFS(Task!$A$5:$A$404,$A22,Task!$C$5:$C$404,J$3,Task!$K$5:$K$404,"Đang làm")&gt;0,"Đang làm","Chưa")))))</f>
        <v/>
      </c>
      <c r="K22" s="14" t="str">
        <f aca="false">IF($A22="","",IF((COUNTIFS(Task!$A$5:$A$404,$A22,Task!$C$5:$C$404,K$3)-COUNTIFS(Task!$A$5:$A$404,$A22,Task!$C$5:$C$404,K$3,Task!$K$5:$K$404,"Không áp dụng"))=0,"–",IF(COUNTIFS(Task!$A$5:$A$404,$A22,Task!$C$5:$C$404,K$3,Task!$K$5:$K$404,"Hoàn thành")=(COUNTIFS(Task!$A$5:$A$404,$A22,Task!$C$5:$C$404,K$3)-COUNTIFS(Task!$A$5:$A$404,$A22,Task!$C$5:$C$404,K$3,Task!$K$5:$K$404,"Không áp dụng")),"Xong",IF(COUNTIFS(Task!$A$5:$A$404,$A22,Task!$C$5:$C$404,K$3,Task!$K$5:$K$404,"Bị chặn")&gt;0,"Bị chặn",IF(COUNTIFS(Task!$A$5:$A$404,$A22,Task!$C$5:$C$404,K$3,Task!$K$5:$K$404,"Hoàn thành")+COUNTIFS(Task!$A$5:$A$404,$A22,Task!$C$5:$C$404,K$3,Task!$K$5:$K$404,"Đang làm")&gt;0,"Đang làm","Chưa")))))</f>
        <v/>
      </c>
      <c r="L22" s="14" t="str">
        <f aca="false">IF($A22="","",IF((COUNTIFS(Task!$A$5:$A$404,$A22,Task!$C$5:$C$404,L$3)-COUNTIFS(Task!$A$5:$A$404,$A22,Task!$C$5:$C$404,L$3,Task!$K$5:$K$404,"Không áp dụng"))=0,"–",IF(COUNTIFS(Task!$A$5:$A$404,$A22,Task!$C$5:$C$404,L$3,Task!$K$5:$K$404,"Hoàn thành")=(COUNTIFS(Task!$A$5:$A$404,$A22,Task!$C$5:$C$404,L$3)-COUNTIFS(Task!$A$5:$A$404,$A22,Task!$C$5:$C$404,L$3,Task!$K$5:$K$404,"Không áp dụng")),"Xong",IF(COUNTIFS(Task!$A$5:$A$404,$A22,Task!$C$5:$C$404,L$3,Task!$K$5:$K$404,"Bị chặn")&gt;0,"Bị chặn",IF(COUNTIFS(Task!$A$5:$A$404,$A22,Task!$C$5:$C$404,L$3,Task!$K$5:$K$404,"Hoàn thành")+COUNTIFS(Task!$A$5:$A$404,$A22,Task!$C$5:$C$404,L$3,Task!$K$5:$K$404,"Đang làm")&gt;0,"Đang làm","Chưa")))))</f>
        <v/>
      </c>
      <c r="M22" s="14" t="str">
        <f aca="false">IF($A22="","",IF((COUNTIFS(Task!$A$5:$A$404,$A22,Task!$C$5:$C$404,M$3)-COUNTIFS(Task!$A$5:$A$404,$A22,Task!$C$5:$C$404,M$3,Task!$K$5:$K$404,"Không áp dụng"))=0,"–",IF(COUNTIFS(Task!$A$5:$A$404,$A22,Task!$C$5:$C$404,M$3,Task!$K$5:$K$404,"Hoàn thành")=(COUNTIFS(Task!$A$5:$A$404,$A22,Task!$C$5:$C$404,M$3)-COUNTIFS(Task!$A$5:$A$404,$A22,Task!$C$5:$C$404,M$3,Task!$K$5:$K$404,"Không áp dụng")),"Xong",IF(COUNTIFS(Task!$A$5:$A$404,$A22,Task!$C$5:$C$404,M$3,Task!$K$5:$K$404,"Bị chặn")&gt;0,"Bị chặn",IF(COUNTIFS(Task!$A$5:$A$404,$A22,Task!$C$5:$C$404,M$3,Task!$K$5:$K$404,"Hoàn thành")+COUNTIFS(Task!$A$5:$A$404,$A22,Task!$C$5:$C$404,M$3,Task!$K$5:$K$404,"Đang làm")&gt;0,"Đang làm","Chưa")))))</f>
        <v/>
      </c>
      <c r="N22" s="14" t="str">
        <f aca="false">IF($A22="","",IF(F22&lt;&gt;"Xong",1,IF(G22&lt;&gt;"Xong",2,IF(H22&lt;&gt;"Xong",3,IF(I22&lt;&gt;"Xong",4,IF(J22&lt;&gt;"Xong",5,IF(K22&lt;&gt;"Xong",6,IF(L22&lt;&gt;"Xong",7,IF(M22&lt;&gt;"Xong",8,9)))))))))</f>
        <v/>
      </c>
      <c r="O22" s="14" t="str">
        <f aca="false">IF($A22="","",IF($N22=9,"Hoàn tất",INDEX('Quy trình'!$B$5:$B$12,$N22)))</f>
        <v/>
      </c>
      <c r="P22" s="14" t="str">
        <f aca="false">IF($A22="","",COUNTIFS(Task!$A$5:$A$404,$A22)-COUNTIFS(Task!$A$5:$A$404,$A22,Task!$K$5:$K$404,"Không áp dụng"))</f>
        <v/>
      </c>
      <c r="Q22" s="14" t="str">
        <f aca="false">IF($A22="","",COUNTIFS(Task!$A$5:$A$404,$A22,Task!$K$5:$K$404,"Hoàn thành"))</f>
        <v/>
      </c>
      <c r="R22" s="16" t="str">
        <f aca="false">IF($A22="","",Q22/MAX(P22,COUNTA('Mẫu task'!$A$5:$A$64)))</f>
        <v/>
      </c>
      <c r="S22" s="14" t="str">
        <f aca="false">IF($A22="","",SUMIFS(Task!$O$5:$O$404,Task!$A$5:$A$404,$A22))</f>
        <v/>
      </c>
      <c r="T22" s="14" t="str">
        <f aca="false">IF($A22="","",COUNTIFS(Task!$A$5:$A$404,$A22,Task!$K$5:$K$404,"Bị chặn"))</f>
        <v/>
      </c>
      <c r="U22" s="14" t="str">
        <f aca="false">IF($A22="","",IF(P22=0,"Chưa có task",IF(T22&gt;0,"Bị chặn",IF(S22&gt;0,"Có việc trễ",IF(N22=9,"Hoàn tất","Đúng tiến độ")))))</f>
        <v/>
      </c>
      <c r="V22" s="14" t="str">
        <f aca="false">IF($A22="","",IFERROR(INDEX('Chấm điểm'!$D$16:$M$16,MATCH($A22,'Chấm điểm'!$D$4:$M$4,0)),""))</f>
        <v/>
      </c>
    </row>
    <row r="23" customFormat="false" ht="15" hidden="false" customHeight="false" outlineLevel="0" collapsed="false">
      <c r="A23" s="19"/>
      <c r="B23" s="19"/>
      <c r="C23" s="19"/>
      <c r="D23" s="19"/>
      <c r="E23" s="20"/>
      <c r="F23" s="14" t="str">
        <f aca="false">IF($A23="","",IF((COUNTIFS(Task!$A$5:$A$404,$A23,Task!$C$5:$C$404,F$3)-COUNTIFS(Task!$A$5:$A$404,$A23,Task!$C$5:$C$404,F$3,Task!$K$5:$K$404,"Không áp dụng"))=0,"–",IF(COUNTIFS(Task!$A$5:$A$404,$A23,Task!$C$5:$C$404,F$3,Task!$K$5:$K$404,"Hoàn thành")=(COUNTIFS(Task!$A$5:$A$404,$A23,Task!$C$5:$C$404,F$3)-COUNTIFS(Task!$A$5:$A$404,$A23,Task!$C$5:$C$404,F$3,Task!$K$5:$K$404,"Không áp dụng")),"Xong",IF(COUNTIFS(Task!$A$5:$A$404,$A23,Task!$C$5:$C$404,F$3,Task!$K$5:$K$404,"Bị chặn")&gt;0,"Bị chặn",IF(COUNTIFS(Task!$A$5:$A$404,$A23,Task!$C$5:$C$404,F$3,Task!$K$5:$K$404,"Hoàn thành")+COUNTIFS(Task!$A$5:$A$404,$A23,Task!$C$5:$C$404,F$3,Task!$K$5:$K$404,"Đang làm")&gt;0,"Đang làm","Chưa")))))</f>
        <v/>
      </c>
      <c r="G23" s="14" t="str">
        <f aca="false">IF($A23="","",IF((COUNTIFS(Task!$A$5:$A$404,$A23,Task!$C$5:$C$404,G$3)-COUNTIFS(Task!$A$5:$A$404,$A23,Task!$C$5:$C$404,G$3,Task!$K$5:$K$404,"Không áp dụng"))=0,"–",IF(COUNTIFS(Task!$A$5:$A$404,$A23,Task!$C$5:$C$404,G$3,Task!$K$5:$K$404,"Hoàn thành")=(COUNTIFS(Task!$A$5:$A$404,$A23,Task!$C$5:$C$404,G$3)-COUNTIFS(Task!$A$5:$A$404,$A23,Task!$C$5:$C$404,G$3,Task!$K$5:$K$404,"Không áp dụng")),"Xong",IF(COUNTIFS(Task!$A$5:$A$404,$A23,Task!$C$5:$C$404,G$3,Task!$K$5:$K$404,"Bị chặn")&gt;0,"Bị chặn",IF(COUNTIFS(Task!$A$5:$A$404,$A23,Task!$C$5:$C$404,G$3,Task!$K$5:$K$404,"Hoàn thành")+COUNTIFS(Task!$A$5:$A$404,$A23,Task!$C$5:$C$404,G$3,Task!$K$5:$K$404,"Đang làm")&gt;0,"Đang làm","Chưa")))))</f>
        <v/>
      </c>
      <c r="H23" s="14" t="str">
        <f aca="false">IF($A23="","",IF((COUNTIFS(Task!$A$5:$A$404,$A23,Task!$C$5:$C$404,H$3)-COUNTIFS(Task!$A$5:$A$404,$A23,Task!$C$5:$C$404,H$3,Task!$K$5:$K$404,"Không áp dụng"))=0,"–",IF(COUNTIFS(Task!$A$5:$A$404,$A23,Task!$C$5:$C$404,H$3,Task!$K$5:$K$404,"Hoàn thành")=(COUNTIFS(Task!$A$5:$A$404,$A23,Task!$C$5:$C$404,H$3)-COUNTIFS(Task!$A$5:$A$404,$A23,Task!$C$5:$C$404,H$3,Task!$K$5:$K$404,"Không áp dụng")),"Xong",IF(COUNTIFS(Task!$A$5:$A$404,$A23,Task!$C$5:$C$404,H$3,Task!$K$5:$K$404,"Bị chặn")&gt;0,"Bị chặn",IF(COUNTIFS(Task!$A$5:$A$404,$A23,Task!$C$5:$C$404,H$3,Task!$K$5:$K$404,"Hoàn thành")+COUNTIFS(Task!$A$5:$A$404,$A23,Task!$C$5:$C$404,H$3,Task!$K$5:$K$404,"Đang làm")&gt;0,"Đang làm","Chưa")))))</f>
        <v/>
      </c>
      <c r="I23" s="14" t="str">
        <f aca="false">IF($A23="","",IF((COUNTIFS(Task!$A$5:$A$404,$A23,Task!$C$5:$C$404,I$3)-COUNTIFS(Task!$A$5:$A$404,$A23,Task!$C$5:$C$404,I$3,Task!$K$5:$K$404,"Không áp dụng"))=0,"–",IF(COUNTIFS(Task!$A$5:$A$404,$A23,Task!$C$5:$C$404,I$3,Task!$K$5:$K$404,"Hoàn thành")=(COUNTIFS(Task!$A$5:$A$404,$A23,Task!$C$5:$C$404,I$3)-COUNTIFS(Task!$A$5:$A$404,$A23,Task!$C$5:$C$404,I$3,Task!$K$5:$K$404,"Không áp dụng")),"Xong",IF(COUNTIFS(Task!$A$5:$A$404,$A23,Task!$C$5:$C$404,I$3,Task!$K$5:$K$404,"Bị chặn")&gt;0,"Bị chặn",IF(COUNTIFS(Task!$A$5:$A$404,$A23,Task!$C$5:$C$404,I$3,Task!$K$5:$K$404,"Hoàn thành")+COUNTIFS(Task!$A$5:$A$404,$A23,Task!$C$5:$C$404,I$3,Task!$K$5:$K$404,"Đang làm")&gt;0,"Đang làm","Chưa")))))</f>
        <v/>
      </c>
      <c r="J23" s="14" t="str">
        <f aca="false">IF($A23="","",IF((COUNTIFS(Task!$A$5:$A$404,$A23,Task!$C$5:$C$404,J$3)-COUNTIFS(Task!$A$5:$A$404,$A23,Task!$C$5:$C$404,J$3,Task!$K$5:$K$404,"Không áp dụng"))=0,"–",IF(COUNTIFS(Task!$A$5:$A$404,$A23,Task!$C$5:$C$404,J$3,Task!$K$5:$K$404,"Hoàn thành")=(COUNTIFS(Task!$A$5:$A$404,$A23,Task!$C$5:$C$404,J$3)-COUNTIFS(Task!$A$5:$A$404,$A23,Task!$C$5:$C$404,J$3,Task!$K$5:$K$404,"Không áp dụng")),"Xong",IF(COUNTIFS(Task!$A$5:$A$404,$A23,Task!$C$5:$C$404,J$3,Task!$K$5:$K$404,"Bị chặn")&gt;0,"Bị chặn",IF(COUNTIFS(Task!$A$5:$A$404,$A23,Task!$C$5:$C$404,J$3,Task!$K$5:$K$404,"Hoàn thành")+COUNTIFS(Task!$A$5:$A$404,$A23,Task!$C$5:$C$404,J$3,Task!$K$5:$K$404,"Đang làm")&gt;0,"Đang làm","Chưa")))))</f>
        <v/>
      </c>
      <c r="K23" s="14" t="str">
        <f aca="false">IF($A23="","",IF((COUNTIFS(Task!$A$5:$A$404,$A23,Task!$C$5:$C$404,K$3)-COUNTIFS(Task!$A$5:$A$404,$A23,Task!$C$5:$C$404,K$3,Task!$K$5:$K$404,"Không áp dụng"))=0,"–",IF(COUNTIFS(Task!$A$5:$A$404,$A23,Task!$C$5:$C$404,K$3,Task!$K$5:$K$404,"Hoàn thành")=(COUNTIFS(Task!$A$5:$A$404,$A23,Task!$C$5:$C$404,K$3)-COUNTIFS(Task!$A$5:$A$404,$A23,Task!$C$5:$C$404,K$3,Task!$K$5:$K$404,"Không áp dụng")),"Xong",IF(COUNTIFS(Task!$A$5:$A$404,$A23,Task!$C$5:$C$404,K$3,Task!$K$5:$K$404,"Bị chặn")&gt;0,"Bị chặn",IF(COUNTIFS(Task!$A$5:$A$404,$A23,Task!$C$5:$C$404,K$3,Task!$K$5:$K$404,"Hoàn thành")+COUNTIFS(Task!$A$5:$A$404,$A23,Task!$C$5:$C$404,K$3,Task!$K$5:$K$404,"Đang làm")&gt;0,"Đang làm","Chưa")))))</f>
        <v/>
      </c>
      <c r="L23" s="14" t="str">
        <f aca="false">IF($A23="","",IF((COUNTIFS(Task!$A$5:$A$404,$A23,Task!$C$5:$C$404,L$3)-COUNTIFS(Task!$A$5:$A$404,$A23,Task!$C$5:$C$404,L$3,Task!$K$5:$K$404,"Không áp dụng"))=0,"–",IF(COUNTIFS(Task!$A$5:$A$404,$A23,Task!$C$5:$C$404,L$3,Task!$K$5:$K$404,"Hoàn thành")=(COUNTIFS(Task!$A$5:$A$404,$A23,Task!$C$5:$C$404,L$3)-COUNTIFS(Task!$A$5:$A$404,$A23,Task!$C$5:$C$404,L$3,Task!$K$5:$K$404,"Không áp dụng")),"Xong",IF(COUNTIFS(Task!$A$5:$A$404,$A23,Task!$C$5:$C$404,L$3,Task!$K$5:$K$404,"Bị chặn")&gt;0,"Bị chặn",IF(COUNTIFS(Task!$A$5:$A$404,$A23,Task!$C$5:$C$404,L$3,Task!$K$5:$K$404,"Hoàn thành")+COUNTIFS(Task!$A$5:$A$404,$A23,Task!$C$5:$C$404,L$3,Task!$K$5:$K$404,"Đang làm")&gt;0,"Đang làm","Chưa")))))</f>
        <v/>
      </c>
      <c r="M23" s="14" t="str">
        <f aca="false">IF($A23="","",IF((COUNTIFS(Task!$A$5:$A$404,$A23,Task!$C$5:$C$404,M$3)-COUNTIFS(Task!$A$5:$A$404,$A23,Task!$C$5:$C$404,M$3,Task!$K$5:$K$404,"Không áp dụng"))=0,"–",IF(COUNTIFS(Task!$A$5:$A$404,$A23,Task!$C$5:$C$404,M$3,Task!$K$5:$K$404,"Hoàn thành")=(COUNTIFS(Task!$A$5:$A$404,$A23,Task!$C$5:$C$404,M$3)-COUNTIFS(Task!$A$5:$A$404,$A23,Task!$C$5:$C$404,M$3,Task!$K$5:$K$404,"Không áp dụng")),"Xong",IF(COUNTIFS(Task!$A$5:$A$404,$A23,Task!$C$5:$C$404,M$3,Task!$K$5:$K$404,"Bị chặn")&gt;0,"Bị chặn",IF(COUNTIFS(Task!$A$5:$A$404,$A23,Task!$C$5:$C$404,M$3,Task!$K$5:$K$404,"Hoàn thành")+COUNTIFS(Task!$A$5:$A$404,$A23,Task!$C$5:$C$404,M$3,Task!$K$5:$K$404,"Đang làm")&gt;0,"Đang làm","Chưa")))))</f>
        <v/>
      </c>
      <c r="N23" s="14" t="str">
        <f aca="false">IF($A23="","",IF(F23&lt;&gt;"Xong",1,IF(G23&lt;&gt;"Xong",2,IF(H23&lt;&gt;"Xong",3,IF(I23&lt;&gt;"Xong",4,IF(J23&lt;&gt;"Xong",5,IF(K23&lt;&gt;"Xong",6,IF(L23&lt;&gt;"Xong",7,IF(M23&lt;&gt;"Xong",8,9)))))))))</f>
        <v/>
      </c>
      <c r="O23" s="14" t="str">
        <f aca="false">IF($A23="","",IF($N23=9,"Hoàn tất",INDEX('Quy trình'!$B$5:$B$12,$N23)))</f>
        <v/>
      </c>
      <c r="P23" s="14" t="str">
        <f aca="false">IF($A23="","",COUNTIFS(Task!$A$5:$A$404,$A23)-COUNTIFS(Task!$A$5:$A$404,$A23,Task!$K$5:$K$404,"Không áp dụng"))</f>
        <v/>
      </c>
      <c r="Q23" s="14" t="str">
        <f aca="false">IF($A23="","",COUNTIFS(Task!$A$5:$A$404,$A23,Task!$K$5:$K$404,"Hoàn thành"))</f>
        <v/>
      </c>
      <c r="R23" s="16" t="str">
        <f aca="false">IF($A23="","",Q23/MAX(P23,COUNTA('Mẫu task'!$A$5:$A$64)))</f>
        <v/>
      </c>
      <c r="S23" s="14" t="str">
        <f aca="false">IF($A23="","",SUMIFS(Task!$O$5:$O$404,Task!$A$5:$A$404,$A23))</f>
        <v/>
      </c>
      <c r="T23" s="14" t="str">
        <f aca="false">IF($A23="","",COUNTIFS(Task!$A$5:$A$404,$A23,Task!$K$5:$K$404,"Bị chặn"))</f>
        <v/>
      </c>
      <c r="U23" s="14" t="str">
        <f aca="false">IF($A23="","",IF(P23=0,"Chưa có task",IF(T23&gt;0,"Bị chặn",IF(S23&gt;0,"Có việc trễ",IF(N23=9,"Hoàn tất","Đúng tiến độ")))))</f>
        <v/>
      </c>
      <c r="V23" s="14" t="str">
        <f aca="false">IF($A23="","",IFERROR(INDEX('Chấm điểm'!$D$16:$M$16,MATCH($A23,'Chấm điểm'!$D$4:$M$4,0)),""))</f>
        <v/>
      </c>
    </row>
    <row r="24" customFormat="false" ht="15" hidden="false" customHeight="false" outlineLevel="0" collapsed="false">
      <c r="A24" s="19"/>
      <c r="B24" s="19"/>
      <c r="C24" s="19"/>
      <c r="D24" s="19"/>
      <c r="E24" s="20"/>
      <c r="F24" s="14" t="str">
        <f aca="false">IF($A24="","",IF((COUNTIFS(Task!$A$5:$A$404,$A24,Task!$C$5:$C$404,F$3)-COUNTIFS(Task!$A$5:$A$404,$A24,Task!$C$5:$C$404,F$3,Task!$K$5:$K$404,"Không áp dụng"))=0,"–",IF(COUNTIFS(Task!$A$5:$A$404,$A24,Task!$C$5:$C$404,F$3,Task!$K$5:$K$404,"Hoàn thành")=(COUNTIFS(Task!$A$5:$A$404,$A24,Task!$C$5:$C$404,F$3)-COUNTIFS(Task!$A$5:$A$404,$A24,Task!$C$5:$C$404,F$3,Task!$K$5:$K$404,"Không áp dụng")),"Xong",IF(COUNTIFS(Task!$A$5:$A$404,$A24,Task!$C$5:$C$404,F$3,Task!$K$5:$K$404,"Bị chặn")&gt;0,"Bị chặn",IF(COUNTIFS(Task!$A$5:$A$404,$A24,Task!$C$5:$C$404,F$3,Task!$K$5:$K$404,"Hoàn thành")+COUNTIFS(Task!$A$5:$A$404,$A24,Task!$C$5:$C$404,F$3,Task!$K$5:$K$404,"Đang làm")&gt;0,"Đang làm","Chưa")))))</f>
        <v/>
      </c>
      <c r="G24" s="14" t="str">
        <f aca="false">IF($A24="","",IF((COUNTIFS(Task!$A$5:$A$404,$A24,Task!$C$5:$C$404,G$3)-COUNTIFS(Task!$A$5:$A$404,$A24,Task!$C$5:$C$404,G$3,Task!$K$5:$K$404,"Không áp dụng"))=0,"–",IF(COUNTIFS(Task!$A$5:$A$404,$A24,Task!$C$5:$C$404,G$3,Task!$K$5:$K$404,"Hoàn thành")=(COUNTIFS(Task!$A$5:$A$404,$A24,Task!$C$5:$C$404,G$3)-COUNTIFS(Task!$A$5:$A$404,$A24,Task!$C$5:$C$404,G$3,Task!$K$5:$K$404,"Không áp dụng")),"Xong",IF(COUNTIFS(Task!$A$5:$A$404,$A24,Task!$C$5:$C$404,G$3,Task!$K$5:$K$404,"Bị chặn")&gt;0,"Bị chặn",IF(COUNTIFS(Task!$A$5:$A$404,$A24,Task!$C$5:$C$404,G$3,Task!$K$5:$K$404,"Hoàn thành")+COUNTIFS(Task!$A$5:$A$404,$A24,Task!$C$5:$C$404,G$3,Task!$K$5:$K$404,"Đang làm")&gt;0,"Đang làm","Chưa")))))</f>
        <v/>
      </c>
      <c r="H24" s="14" t="str">
        <f aca="false">IF($A24="","",IF((COUNTIFS(Task!$A$5:$A$404,$A24,Task!$C$5:$C$404,H$3)-COUNTIFS(Task!$A$5:$A$404,$A24,Task!$C$5:$C$404,H$3,Task!$K$5:$K$404,"Không áp dụng"))=0,"–",IF(COUNTIFS(Task!$A$5:$A$404,$A24,Task!$C$5:$C$404,H$3,Task!$K$5:$K$404,"Hoàn thành")=(COUNTIFS(Task!$A$5:$A$404,$A24,Task!$C$5:$C$404,H$3)-COUNTIFS(Task!$A$5:$A$404,$A24,Task!$C$5:$C$404,H$3,Task!$K$5:$K$404,"Không áp dụng")),"Xong",IF(COUNTIFS(Task!$A$5:$A$404,$A24,Task!$C$5:$C$404,H$3,Task!$K$5:$K$404,"Bị chặn")&gt;0,"Bị chặn",IF(COUNTIFS(Task!$A$5:$A$404,$A24,Task!$C$5:$C$404,H$3,Task!$K$5:$K$404,"Hoàn thành")+COUNTIFS(Task!$A$5:$A$404,$A24,Task!$C$5:$C$404,H$3,Task!$K$5:$K$404,"Đang làm")&gt;0,"Đang làm","Chưa")))))</f>
        <v/>
      </c>
      <c r="I24" s="14" t="str">
        <f aca="false">IF($A24="","",IF((COUNTIFS(Task!$A$5:$A$404,$A24,Task!$C$5:$C$404,I$3)-COUNTIFS(Task!$A$5:$A$404,$A24,Task!$C$5:$C$404,I$3,Task!$K$5:$K$404,"Không áp dụng"))=0,"–",IF(COUNTIFS(Task!$A$5:$A$404,$A24,Task!$C$5:$C$404,I$3,Task!$K$5:$K$404,"Hoàn thành")=(COUNTIFS(Task!$A$5:$A$404,$A24,Task!$C$5:$C$404,I$3)-COUNTIFS(Task!$A$5:$A$404,$A24,Task!$C$5:$C$404,I$3,Task!$K$5:$K$404,"Không áp dụng")),"Xong",IF(COUNTIFS(Task!$A$5:$A$404,$A24,Task!$C$5:$C$404,I$3,Task!$K$5:$K$404,"Bị chặn")&gt;0,"Bị chặn",IF(COUNTIFS(Task!$A$5:$A$404,$A24,Task!$C$5:$C$404,I$3,Task!$K$5:$K$404,"Hoàn thành")+COUNTIFS(Task!$A$5:$A$404,$A24,Task!$C$5:$C$404,I$3,Task!$K$5:$K$404,"Đang làm")&gt;0,"Đang làm","Chưa")))))</f>
        <v/>
      </c>
      <c r="J24" s="14" t="str">
        <f aca="false">IF($A24="","",IF((COUNTIFS(Task!$A$5:$A$404,$A24,Task!$C$5:$C$404,J$3)-COUNTIFS(Task!$A$5:$A$404,$A24,Task!$C$5:$C$404,J$3,Task!$K$5:$K$404,"Không áp dụng"))=0,"–",IF(COUNTIFS(Task!$A$5:$A$404,$A24,Task!$C$5:$C$404,J$3,Task!$K$5:$K$404,"Hoàn thành")=(COUNTIFS(Task!$A$5:$A$404,$A24,Task!$C$5:$C$404,J$3)-COUNTIFS(Task!$A$5:$A$404,$A24,Task!$C$5:$C$404,J$3,Task!$K$5:$K$404,"Không áp dụng")),"Xong",IF(COUNTIFS(Task!$A$5:$A$404,$A24,Task!$C$5:$C$404,J$3,Task!$K$5:$K$404,"Bị chặn")&gt;0,"Bị chặn",IF(COUNTIFS(Task!$A$5:$A$404,$A24,Task!$C$5:$C$404,J$3,Task!$K$5:$K$404,"Hoàn thành")+COUNTIFS(Task!$A$5:$A$404,$A24,Task!$C$5:$C$404,J$3,Task!$K$5:$K$404,"Đang làm")&gt;0,"Đang làm","Chưa")))))</f>
        <v/>
      </c>
      <c r="K24" s="14" t="str">
        <f aca="false">IF($A24="","",IF((COUNTIFS(Task!$A$5:$A$404,$A24,Task!$C$5:$C$404,K$3)-COUNTIFS(Task!$A$5:$A$404,$A24,Task!$C$5:$C$404,K$3,Task!$K$5:$K$404,"Không áp dụng"))=0,"–",IF(COUNTIFS(Task!$A$5:$A$404,$A24,Task!$C$5:$C$404,K$3,Task!$K$5:$K$404,"Hoàn thành")=(COUNTIFS(Task!$A$5:$A$404,$A24,Task!$C$5:$C$404,K$3)-COUNTIFS(Task!$A$5:$A$404,$A24,Task!$C$5:$C$404,K$3,Task!$K$5:$K$404,"Không áp dụng")),"Xong",IF(COUNTIFS(Task!$A$5:$A$404,$A24,Task!$C$5:$C$404,K$3,Task!$K$5:$K$404,"Bị chặn")&gt;0,"Bị chặn",IF(COUNTIFS(Task!$A$5:$A$404,$A24,Task!$C$5:$C$404,K$3,Task!$K$5:$K$404,"Hoàn thành")+COUNTIFS(Task!$A$5:$A$404,$A24,Task!$C$5:$C$404,K$3,Task!$K$5:$K$404,"Đang làm")&gt;0,"Đang làm","Chưa")))))</f>
        <v/>
      </c>
      <c r="L24" s="14" t="str">
        <f aca="false">IF($A24="","",IF((COUNTIFS(Task!$A$5:$A$404,$A24,Task!$C$5:$C$404,L$3)-COUNTIFS(Task!$A$5:$A$404,$A24,Task!$C$5:$C$404,L$3,Task!$K$5:$K$404,"Không áp dụng"))=0,"–",IF(COUNTIFS(Task!$A$5:$A$404,$A24,Task!$C$5:$C$404,L$3,Task!$K$5:$K$404,"Hoàn thành")=(COUNTIFS(Task!$A$5:$A$404,$A24,Task!$C$5:$C$404,L$3)-COUNTIFS(Task!$A$5:$A$404,$A24,Task!$C$5:$C$404,L$3,Task!$K$5:$K$404,"Không áp dụng")),"Xong",IF(COUNTIFS(Task!$A$5:$A$404,$A24,Task!$C$5:$C$404,L$3,Task!$K$5:$K$404,"Bị chặn")&gt;0,"Bị chặn",IF(COUNTIFS(Task!$A$5:$A$404,$A24,Task!$C$5:$C$404,L$3,Task!$K$5:$K$404,"Hoàn thành")+COUNTIFS(Task!$A$5:$A$404,$A24,Task!$C$5:$C$404,L$3,Task!$K$5:$K$404,"Đang làm")&gt;0,"Đang làm","Chưa")))))</f>
        <v/>
      </c>
      <c r="M24" s="14" t="str">
        <f aca="false">IF($A24="","",IF((COUNTIFS(Task!$A$5:$A$404,$A24,Task!$C$5:$C$404,M$3)-COUNTIFS(Task!$A$5:$A$404,$A24,Task!$C$5:$C$404,M$3,Task!$K$5:$K$404,"Không áp dụng"))=0,"–",IF(COUNTIFS(Task!$A$5:$A$404,$A24,Task!$C$5:$C$404,M$3,Task!$K$5:$K$404,"Hoàn thành")=(COUNTIFS(Task!$A$5:$A$404,$A24,Task!$C$5:$C$404,M$3)-COUNTIFS(Task!$A$5:$A$404,$A24,Task!$C$5:$C$404,M$3,Task!$K$5:$K$404,"Không áp dụng")),"Xong",IF(COUNTIFS(Task!$A$5:$A$404,$A24,Task!$C$5:$C$404,M$3,Task!$K$5:$K$404,"Bị chặn")&gt;0,"Bị chặn",IF(COUNTIFS(Task!$A$5:$A$404,$A24,Task!$C$5:$C$404,M$3,Task!$K$5:$K$404,"Hoàn thành")+COUNTIFS(Task!$A$5:$A$404,$A24,Task!$C$5:$C$404,M$3,Task!$K$5:$K$404,"Đang làm")&gt;0,"Đang làm","Chưa")))))</f>
        <v/>
      </c>
      <c r="N24" s="14" t="str">
        <f aca="false">IF($A24="","",IF(F24&lt;&gt;"Xong",1,IF(G24&lt;&gt;"Xong",2,IF(H24&lt;&gt;"Xong",3,IF(I24&lt;&gt;"Xong",4,IF(J24&lt;&gt;"Xong",5,IF(K24&lt;&gt;"Xong",6,IF(L24&lt;&gt;"Xong",7,IF(M24&lt;&gt;"Xong",8,9)))))))))</f>
        <v/>
      </c>
      <c r="O24" s="14" t="str">
        <f aca="false">IF($A24="","",IF($N24=9,"Hoàn tất",INDEX('Quy trình'!$B$5:$B$12,$N24)))</f>
        <v/>
      </c>
      <c r="P24" s="14" t="str">
        <f aca="false">IF($A24="","",COUNTIFS(Task!$A$5:$A$404,$A24)-COUNTIFS(Task!$A$5:$A$404,$A24,Task!$K$5:$K$404,"Không áp dụng"))</f>
        <v/>
      </c>
      <c r="Q24" s="14" t="str">
        <f aca="false">IF($A24="","",COUNTIFS(Task!$A$5:$A$404,$A24,Task!$K$5:$K$404,"Hoàn thành"))</f>
        <v/>
      </c>
      <c r="R24" s="16" t="str">
        <f aca="false">IF($A24="","",Q24/MAX(P24,COUNTA('Mẫu task'!$A$5:$A$64)))</f>
        <v/>
      </c>
      <c r="S24" s="14" t="str">
        <f aca="false">IF($A24="","",SUMIFS(Task!$O$5:$O$404,Task!$A$5:$A$404,$A24))</f>
        <v/>
      </c>
      <c r="T24" s="14" t="str">
        <f aca="false">IF($A24="","",COUNTIFS(Task!$A$5:$A$404,$A24,Task!$K$5:$K$404,"Bị chặn"))</f>
        <v/>
      </c>
      <c r="U24" s="14" t="str">
        <f aca="false">IF($A24="","",IF(P24=0,"Chưa có task",IF(T24&gt;0,"Bị chặn",IF(S24&gt;0,"Có việc trễ",IF(N24=9,"Hoàn tất","Đúng tiến độ")))))</f>
        <v/>
      </c>
      <c r="V24" s="14" t="str">
        <f aca="false">IF($A24="","",IFERROR(INDEX('Chấm điểm'!$D$16:$M$16,MATCH($A24,'Chấm điểm'!$D$4:$M$4,0)),""))</f>
        <v/>
      </c>
    </row>
    <row r="25" customFormat="false" ht="15" hidden="false" customHeight="false" outlineLevel="0" collapsed="false">
      <c r="A25" s="19"/>
      <c r="B25" s="19"/>
      <c r="C25" s="19"/>
      <c r="D25" s="19"/>
      <c r="E25" s="20"/>
      <c r="F25" s="14" t="str">
        <f aca="false">IF($A25="","",IF((COUNTIFS(Task!$A$5:$A$404,$A25,Task!$C$5:$C$404,F$3)-COUNTIFS(Task!$A$5:$A$404,$A25,Task!$C$5:$C$404,F$3,Task!$K$5:$K$404,"Không áp dụng"))=0,"–",IF(COUNTIFS(Task!$A$5:$A$404,$A25,Task!$C$5:$C$404,F$3,Task!$K$5:$K$404,"Hoàn thành")=(COUNTIFS(Task!$A$5:$A$404,$A25,Task!$C$5:$C$404,F$3)-COUNTIFS(Task!$A$5:$A$404,$A25,Task!$C$5:$C$404,F$3,Task!$K$5:$K$404,"Không áp dụng")),"Xong",IF(COUNTIFS(Task!$A$5:$A$404,$A25,Task!$C$5:$C$404,F$3,Task!$K$5:$K$404,"Bị chặn")&gt;0,"Bị chặn",IF(COUNTIFS(Task!$A$5:$A$404,$A25,Task!$C$5:$C$404,F$3,Task!$K$5:$K$404,"Hoàn thành")+COUNTIFS(Task!$A$5:$A$404,$A25,Task!$C$5:$C$404,F$3,Task!$K$5:$K$404,"Đang làm")&gt;0,"Đang làm","Chưa")))))</f>
        <v/>
      </c>
      <c r="G25" s="14" t="str">
        <f aca="false">IF($A25="","",IF((COUNTIFS(Task!$A$5:$A$404,$A25,Task!$C$5:$C$404,G$3)-COUNTIFS(Task!$A$5:$A$404,$A25,Task!$C$5:$C$404,G$3,Task!$K$5:$K$404,"Không áp dụng"))=0,"–",IF(COUNTIFS(Task!$A$5:$A$404,$A25,Task!$C$5:$C$404,G$3,Task!$K$5:$K$404,"Hoàn thành")=(COUNTIFS(Task!$A$5:$A$404,$A25,Task!$C$5:$C$404,G$3)-COUNTIFS(Task!$A$5:$A$404,$A25,Task!$C$5:$C$404,G$3,Task!$K$5:$K$404,"Không áp dụng")),"Xong",IF(COUNTIFS(Task!$A$5:$A$404,$A25,Task!$C$5:$C$404,G$3,Task!$K$5:$K$404,"Bị chặn")&gt;0,"Bị chặn",IF(COUNTIFS(Task!$A$5:$A$404,$A25,Task!$C$5:$C$404,G$3,Task!$K$5:$K$404,"Hoàn thành")+COUNTIFS(Task!$A$5:$A$404,$A25,Task!$C$5:$C$404,G$3,Task!$K$5:$K$404,"Đang làm")&gt;0,"Đang làm","Chưa")))))</f>
        <v/>
      </c>
      <c r="H25" s="14" t="str">
        <f aca="false">IF($A25="","",IF((COUNTIFS(Task!$A$5:$A$404,$A25,Task!$C$5:$C$404,H$3)-COUNTIFS(Task!$A$5:$A$404,$A25,Task!$C$5:$C$404,H$3,Task!$K$5:$K$404,"Không áp dụng"))=0,"–",IF(COUNTIFS(Task!$A$5:$A$404,$A25,Task!$C$5:$C$404,H$3,Task!$K$5:$K$404,"Hoàn thành")=(COUNTIFS(Task!$A$5:$A$404,$A25,Task!$C$5:$C$404,H$3)-COUNTIFS(Task!$A$5:$A$404,$A25,Task!$C$5:$C$404,H$3,Task!$K$5:$K$404,"Không áp dụng")),"Xong",IF(COUNTIFS(Task!$A$5:$A$404,$A25,Task!$C$5:$C$404,H$3,Task!$K$5:$K$404,"Bị chặn")&gt;0,"Bị chặn",IF(COUNTIFS(Task!$A$5:$A$404,$A25,Task!$C$5:$C$404,H$3,Task!$K$5:$K$404,"Hoàn thành")+COUNTIFS(Task!$A$5:$A$404,$A25,Task!$C$5:$C$404,H$3,Task!$K$5:$K$404,"Đang làm")&gt;0,"Đang làm","Chưa")))))</f>
        <v/>
      </c>
      <c r="I25" s="14" t="str">
        <f aca="false">IF($A25="","",IF((COUNTIFS(Task!$A$5:$A$404,$A25,Task!$C$5:$C$404,I$3)-COUNTIFS(Task!$A$5:$A$404,$A25,Task!$C$5:$C$404,I$3,Task!$K$5:$K$404,"Không áp dụng"))=0,"–",IF(COUNTIFS(Task!$A$5:$A$404,$A25,Task!$C$5:$C$404,I$3,Task!$K$5:$K$404,"Hoàn thành")=(COUNTIFS(Task!$A$5:$A$404,$A25,Task!$C$5:$C$404,I$3)-COUNTIFS(Task!$A$5:$A$404,$A25,Task!$C$5:$C$404,I$3,Task!$K$5:$K$404,"Không áp dụng")),"Xong",IF(COUNTIFS(Task!$A$5:$A$404,$A25,Task!$C$5:$C$404,I$3,Task!$K$5:$K$404,"Bị chặn")&gt;0,"Bị chặn",IF(COUNTIFS(Task!$A$5:$A$404,$A25,Task!$C$5:$C$404,I$3,Task!$K$5:$K$404,"Hoàn thành")+COUNTIFS(Task!$A$5:$A$404,$A25,Task!$C$5:$C$404,I$3,Task!$K$5:$K$404,"Đang làm")&gt;0,"Đang làm","Chưa")))))</f>
        <v/>
      </c>
      <c r="J25" s="14" t="str">
        <f aca="false">IF($A25="","",IF((COUNTIFS(Task!$A$5:$A$404,$A25,Task!$C$5:$C$404,J$3)-COUNTIFS(Task!$A$5:$A$404,$A25,Task!$C$5:$C$404,J$3,Task!$K$5:$K$404,"Không áp dụng"))=0,"–",IF(COUNTIFS(Task!$A$5:$A$404,$A25,Task!$C$5:$C$404,J$3,Task!$K$5:$K$404,"Hoàn thành")=(COUNTIFS(Task!$A$5:$A$404,$A25,Task!$C$5:$C$404,J$3)-COUNTIFS(Task!$A$5:$A$404,$A25,Task!$C$5:$C$404,J$3,Task!$K$5:$K$404,"Không áp dụng")),"Xong",IF(COUNTIFS(Task!$A$5:$A$404,$A25,Task!$C$5:$C$404,J$3,Task!$K$5:$K$404,"Bị chặn")&gt;0,"Bị chặn",IF(COUNTIFS(Task!$A$5:$A$404,$A25,Task!$C$5:$C$404,J$3,Task!$K$5:$K$404,"Hoàn thành")+COUNTIFS(Task!$A$5:$A$404,$A25,Task!$C$5:$C$404,J$3,Task!$K$5:$K$404,"Đang làm")&gt;0,"Đang làm","Chưa")))))</f>
        <v/>
      </c>
      <c r="K25" s="14" t="str">
        <f aca="false">IF($A25="","",IF((COUNTIFS(Task!$A$5:$A$404,$A25,Task!$C$5:$C$404,K$3)-COUNTIFS(Task!$A$5:$A$404,$A25,Task!$C$5:$C$404,K$3,Task!$K$5:$K$404,"Không áp dụng"))=0,"–",IF(COUNTIFS(Task!$A$5:$A$404,$A25,Task!$C$5:$C$404,K$3,Task!$K$5:$K$404,"Hoàn thành")=(COUNTIFS(Task!$A$5:$A$404,$A25,Task!$C$5:$C$404,K$3)-COUNTIFS(Task!$A$5:$A$404,$A25,Task!$C$5:$C$404,K$3,Task!$K$5:$K$404,"Không áp dụng")),"Xong",IF(COUNTIFS(Task!$A$5:$A$404,$A25,Task!$C$5:$C$404,K$3,Task!$K$5:$K$404,"Bị chặn")&gt;0,"Bị chặn",IF(COUNTIFS(Task!$A$5:$A$404,$A25,Task!$C$5:$C$404,K$3,Task!$K$5:$K$404,"Hoàn thành")+COUNTIFS(Task!$A$5:$A$404,$A25,Task!$C$5:$C$404,K$3,Task!$K$5:$K$404,"Đang làm")&gt;0,"Đang làm","Chưa")))))</f>
        <v/>
      </c>
      <c r="L25" s="14" t="str">
        <f aca="false">IF($A25="","",IF((COUNTIFS(Task!$A$5:$A$404,$A25,Task!$C$5:$C$404,L$3)-COUNTIFS(Task!$A$5:$A$404,$A25,Task!$C$5:$C$404,L$3,Task!$K$5:$K$404,"Không áp dụng"))=0,"–",IF(COUNTIFS(Task!$A$5:$A$404,$A25,Task!$C$5:$C$404,L$3,Task!$K$5:$K$404,"Hoàn thành")=(COUNTIFS(Task!$A$5:$A$404,$A25,Task!$C$5:$C$404,L$3)-COUNTIFS(Task!$A$5:$A$404,$A25,Task!$C$5:$C$404,L$3,Task!$K$5:$K$404,"Không áp dụng")),"Xong",IF(COUNTIFS(Task!$A$5:$A$404,$A25,Task!$C$5:$C$404,L$3,Task!$K$5:$K$404,"Bị chặn")&gt;0,"Bị chặn",IF(COUNTIFS(Task!$A$5:$A$404,$A25,Task!$C$5:$C$404,L$3,Task!$K$5:$K$404,"Hoàn thành")+COUNTIFS(Task!$A$5:$A$404,$A25,Task!$C$5:$C$404,L$3,Task!$K$5:$K$404,"Đang làm")&gt;0,"Đang làm","Chưa")))))</f>
        <v/>
      </c>
      <c r="M25" s="14" t="str">
        <f aca="false">IF($A25="","",IF((COUNTIFS(Task!$A$5:$A$404,$A25,Task!$C$5:$C$404,M$3)-COUNTIFS(Task!$A$5:$A$404,$A25,Task!$C$5:$C$404,M$3,Task!$K$5:$K$404,"Không áp dụng"))=0,"–",IF(COUNTIFS(Task!$A$5:$A$404,$A25,Task!$C$5:$C$404,M$3,Task!$K$5:$K$404,"Hoàn thành")=(COUNTIFS(Task!$A$5:$A$404,$A25,Task!$C$5:$C$404,M$3)-COUNTIFS(Task!$A$5:$A$404,$A25,Task!$C$5:$C$404,M$3,Task!$K$5:$K$404,"Không áp dụng")),"Xong",IF(COUNTIFS(Task!$A$5:$A$404,$A25,Task!$C$5:$C$404,M$3,Task!$K$5:$K$404,"Bị chặn")&gt;0,"Bị chặn",IF(COUNTIFS(Task!$A$5:$A$404,$A25,Task!$C$5:$C$404,M$3,Task!$K$5:$K$404,"Hoàn thành")+COUNTIFS(Task!$A$5:$A$404,$A25,Task!$C$5:$C$404,M$3,Task!$K$5:$K$404,"Đang làm")&gt;0,"Đang làm","Chưa")))))</f>
        <v/>
      </c>
      <c r="N25" s="14" t="str">
        <f aca="false">IF($A25="","",IF(F25&lt;&gt;"Xong",1,IF(G25&lt;&gt;"Xong",2,IF(H25&lt;&gt;"Xong",3,IF(I25&lt;&gt;"Xong",4,IF(J25&lt;&gt;"Xong",5,IF(K25&lt;&gt;"Xong",6,IF(L25&lt;&gt;"Xong",7,IF(M25&lt;&gt;"Xong",8,9)))))))))</f>
        <v/>
      </c>
      <c r="O25" s="14" t="str">
        <f aca="false">IF($A25="","",IF($N25=9,"Hoàn tất",INDEX('Quy trình'!$B$5:$B$12,$N25)))</f>
        <v/>
      </c>
      <c r="P25" s="14" t="str">
        <f aca="false">IF($A25="","",COUNTIFS(Task!$A$5:$A$404,$A25)-COUNTIFS(Task!$A$5:$A$404,$A25,Task!$K$5:$K$404,"Không áp dụng"))</f>
        <v/>
      </c>
      <c r="Q25" s="14" t="str">
        <f aca="false">IF($A25="","",COUNTIFS(Task!$A$5:$A$404,$A25,Task!$K$5:$K$404,"Hoàn thành"))</f>
        <v/>
      </c>
      <c r="R25" s="16" t="str">
        <f aca="false">IF($A25="","",Q25/MAX(P25,COUNTA('Mẫu task'!$A$5:$A$64)))</f>
        <v/>
      </c>
      <c r="S25" s="14" t="str">
        <f aca="false">IF($A25="","",SUMIFS(Task!$O$5:$O$404,Task!$A$5:$A$404,$A25))</f>
        <v/>
      </c>
      <c r="T25" s="14" t="str">
        <f aca="false">IF($A25="","",COUNTIFS(Task!$A$5:$A$404,$A25,Task!$K$5:$K$404,"Bị chặn"))</f>
        <v/>
      </c>
      <c r="U25" s="14" t="str">
        <f aca="false">IF($A25="","",IF(P25=0,"Chưa có task",IF(T25&gt;0,"Bị chặn",IF(S25&gt;0,"Có việc trễ",IF(N25=9,"Hoàn tất","Đúng tiến độ")))))</f>
        <v/>
      </c>
      <c r="V25" s="14" t="str">
        <f aca="false">IF($A25="","",IFERROR(INDEX('Chấm điểm'!$D$16:$M$16,MATCH($A25,'Chấm điểm'!$D$4:$M$4,0)),""))</f>
        <v/>
      </c>
    </row>
    <row r="26" customFormat="false" ht="15" hidden="false" customHeight="false" outlineLevel="0" collapsed="false">
      <c r="A26" s="19"/>
      <c r="B26" s="19"/>
      <c r="C26" s="19"/>
      <c r="D26" s="19"/>
      <c r="E26" s="20"/>
      <c r="F26" s="14" t="str">
        <f aca="false">IF($A26="","",IF((COUNTIFS(Task!$A$5:$A$404,$A26,Task!$C$5:$C$404,F$3)-COUNTIFS(Task!$A$5:$A$404,$A26,Task!$C$5:$C$404,F$3,Task!$K$5:$K$404,"Không áp dụng"))=0,"–",IF(COUNTIFS(Task!$A$5:$A$404,$A26,Task!$C$5:$C$404,F$3,Task!$K$5:$K$404,"Hoàn thành")=(COUNTIFS(Task!$A$5:$A$404,$A26,Task!$C$5:$C$404,F$3)-COUNTIFS(Task!$A$5:$A$404,$A26,Task!$C$5:$C$404,F$3,Task!$K$5:$K$404,"Không áp dụng")),"Xong",IF(COUNTIFS(Task!$A$5:$A$404,$A26,Task!$C$5:$C$404,F$3,Task!$K$5:$K$404,"Bị chặn")&gt;0,"Bị chặn",IF(COUNTIFS(Task!$A$5:$A$404,$A26,Task!$C$5:$C$404,F$3,Task!$K$5:$K$404,"Hoàn thành")+COUNTIFS(Task!$A$5:$A$404,$A26,Task!$C$5:$C$404,F$3,Task!$K$5:$K$404,"Đang làm")&gt;0,"Đang làm","Chưa")))))</f>
        <v/>
      </c>
      <c r="G26" s="14" t="str">
        <f aca="false">IF($A26="","",IF((COUNTIFS(Task!$A$5:$A$404,$A26,Task!$C$5:$C$404,G$3)-COUNTIFS(Task!$A$5:$A$404,$A26,Task!$C$5:$C$404,G$3,Task!$K$5:$K$404,"Không áp dụng"))=0,"–",IF(COUNTIFS(Task!$A$5:$A$404,$A26,Task!$C$5:$C$404,G$3,Task!$K$5:$K$404,"Hoàn thành")=(COUNTIFS(Task!$A$5:$A$404,$A26,Task!$C$5:$C$404,G$3)-COUNTIFS(Task!$A$5:$A$404,$A26,Task!$C$5:$C$404,G$3,Task!$K$5:$K$404,"Không áp dụng")),"Xong",IF(COUNTIFS(Task!$A$5:$A$404,$A26,Task!$C$5:$C$404,G$3,Task!$K$5:$K$404,"Bị chặn")&gt;0,"Bị chặn",IF(COUNTIFS(Task!$A$5:$A$404,$A26,Task!$C$5:$C$404,G$3,Task!$K$5:$K$404,"Hoàn thành")+COUNTIFS(Task!$A$5:$A$404,$A26,Task!$C$5:$C$404,G$3,Task!$K$5:$K$404,"Đang làm")&gt;0,"Đang làm","Chưa")))))</f>
        <v/>
      </c>
      <c r="H26" s="14" t="str">
        <f aca="false">IF($A26="","",IF((COUNTIFS(Task!$A$5:$A$404,$A26,Task!$C$5:$C$404,H$3)-COUNTIFS(Task!$A$5:$A$404,$A26,Task!$C$5:$C$404,H$3,Task!$K$5:$K$404,"Không áp dụng"))=0,"–",IF(COUNTIFS(Task!$A$5:$A$404,$A26,Task!$C$5:$C$404,H$3,Task!$K$5:$K$404,"Hoàn thành")=(COUNTIFS(Task!$A$5:$A$404,$A26,Task!$C$5:$C$404,H$3)-COUNTIFS(Task!$A$5:$A$404,$A26,Task!$C$5:$C$404,H$3,Task!$K$5:$K$404,"Không áp dụng")),"Xong",IF(COUNTIFS(Task!$A$5:$A$404,$A26,Task!$C$5:$C$404,H$3,Task!$K$5:$K$404,"Bị chặn")&gt;0,"Bị chặn",IF(COUNTIFS(Task!$A$5:$A$404,$A26,Task!$C$5:$C$404,H$3,Task!$K$5:$K$404,"Hoàn thành")+COUNTIFS(Task!$A$5:$A$404,$A26,Task!$C$5:$C$404,H$3,Task!$K$5:$K$404,"Đang làm")&gt;0,"Đang làm","Chưa")))))</f>
        <v/>
      </c>
      <c r="I26" s="14" t="str">
        <f aca="false">IF($A26="","",IF((COUNTIFS(Task!$A$5:$A$404,$A26,Task!$C$5:$C$404,I$3)-COUNTIFS(Task!$A$5:$A$404,$A26,Task!$C$5:$C$404,I$3,Task!$K$5:$K$404,"Không áp dụng"))=0,"–",IF(COUNTIFS(Task!$A$5:$A$404,$A26,Task!$C$5:$C$404,I$3,Task!$K$5:$K$404,"Hoàn thành")=(COUNTIFS(Task!$A$5:$A$404,$A26,Task!$C$5:$C$404,I$3)-COUNTIFS(Task!$A$5:$A$404,$A26,Task!$C$5:$C$404,I$3,Task!$K$5:$K$404,"Không áp dụng")),"Xong",IF(COUNTIFS(Task!$A$5:$A$404,$A26,Task!$C$5:$C$404,I$3,Task!$K$5:$K$404,"Bị chặn")&gt;0,"Bị chặn",IF(COUNTIFS(Task!$A$5:$A$404,$A26,Task!$C$5:$C$404,I$3,Task!$K$5:$K$404,"Hoàn thành")+COUNTIFS(Task!$A$5:$A$404,$A26,Task!$C$5:$C$404,I$3,Task!$K$5:$K$404,"Đang làm")&gt;0,"Đang làm","Chưa")))))</f>
        <v/>
      </c>
      <c r="J26" s="14" t="str">
        <f aca="false">IF($A26="","",IF((COUNTIFS(Task!$A$5:$A$404,$A26,Task!$C$5:$C$404,J$3)-COUNTIFS(Task!$A$5:$A$404,$A26,Task!$C$5:$C$404,J$3,Task!$K$5:$K$404,"Không áp dụng"))=0,"–",IF(COUNTIFS(Task!$A$5:$A$404,$A26,Task!$C$5:$C$404,J$3,Task!$K$5:$K$404,"Hoàn thành")=(COUNTIFS(Task!$A$5:$A$404,$A26,Task!$C$5:$C$404,J$3)-COUNTIFS(Task!$A$5:$A$404,$A26,Task!$C$5:$C$404,J$3,Task!$K$5:$K$404,"Không áp dụng")),"Xong",IF(COUNTIFS(Task!$A$5:$A$404,$A26,Task!$C$5:$C$404,J$3,Task!$K$5:$K$404,"Bị chặn")&gt;0,"Bị chặn",IF(COUNTIFS(Task!$A$5:$A$404,$A26,Task!$C$5:$C$404,J$3,Task!$K$5:$K$404,"Hoàn thành")+COUNTIFS(Task!$A$5:$A$404,$A26,Task!$C$5:$C$404,J$3,Task!$K$5:$K$404,"Đang làm")&gt;0,"Đang làm","Chưa")))))</f>
        <v/>
      </c>
      <c r="K26" s="14" t="str">
        <f aca="false">IF($A26="","",IF((COUNTIFS(Task!$A$5:$A$404,$A26,Task!$C$5:$C$404,K$3)-COUNTIFS(Task!$A$5:$A$404,$A26,Task!$C$5:$C$404,K$3,Task!$K$5:$K$404,"Không áp dụng"))=0,"–",IF(COUNTIFS(Task!$A$5:$A$404,$A26,Task!$C$5:$C$404,K$3,Task!$K$5:$K$404,"Hoàn thành")=(COUNTIFS(Task!$A$5:$A$404,$A26,Task!$C$5:$C$404,K$3)-COUNTIFS(Task!$A$5:$A$404,$A26,Task!$C$5:$C$404,K$3,Task!$K$5:$K$404,"Không áp dụng")),"Xong",IF(COUNTIFS(Task!$A$5:$A$404,$A26,Task!$C$5:$C$404,K$3,Task!$K$5:$K$404,"Bị chặn")&gt;0,"Bị chặn",IF(COUNTIFS(Task!$A$5:$A$404,$A26,Task!$C$5:$C$404,K$3,Task!$K$5:$K$404,"Hoàn thành")+COUNTIFS(Task!$A$5:$A$404,$A26,Task!$C$5:$C$404,K$3,Task!$K$5:$K$404,"Đang làm")&gt;0,"Đang làm","Chưa")))))</f>
        <v/>
      </c>
      <c r="L26" s="14" t="str">
        <f aca="false">IF($A26="","",IF((COUNTIFS(Task!$A$5:$A$404,$A26,Task!$C$5:$C$404,L$3)-COUNTIFS(Task!$A$5:$A$404,$A26,Task!$C$5:$C$404,L$3,Task!$K$5:$K$404,"Không áp dụng"))=0,"–",IF(COUNTIFS(Task!$A$5:$A$404,$A26,Task!$C$5:$C$404,L$3,Task!$K$5:$K$404,"Hoàn thành")=(COUNTIFS(Task!$A$5:$A$404,$A26,Task!$C$5:$C$404,L$3)-COUNTIFS(Task!$A$5:$A$404,$A26,Task!$C$5:$C$404,L$3,Task!$K$5:$K$404,"Không áp dụng")),"Xong",IF(COUNTIFS(Task!$A$5:$A$404,$A26,Task!$C$5:$C$404,L$3,Task!$K$5:$K$404,"Bị chặn")&gt;0,"Bị chặn",IF(COUNTIFS(Task!$A$5:$A$404,$A26,Task!$C$5:$C$404,L$3,Task!$K$5:$K$404,"Hoàn thành")+COUNTIFS(Task!$A$5:$A$404,$A26,Task!$C$5:$C$404,L$3,Task!$K$5:$K$404,"Đang làm")&gt;0,"Đang làm","Chưa")))))</f>
        <v/>
      </c>
      <c r="M26" s="14" t="str">
        <f aca="false">IF($A26="","",IF((COUNTIFS(Task!$A$5:$A$404,$A26,Task!$C$5:$C$404,M$3)-COUNTIFS(Task!$A$5:$A$404,$A26,Task!$C$5:$C$404,M$3,Task!$K$5:$K$404,"Không áp dụng"))=0,"–",IF(COUNTIFS(Task!$A$5:$A$404,$A26,Task!$C$5:$C$404,M$3,Task!$K$5:$K$404,"Hoàn thành")=(COUNTIFS(Task!$A$5:$A$404,$A26,Task!$C$5:$C$404,M$3)-COUNTIFS(Task!$A$5:$A$404,$A26,Task!$C$5:$C$404,M$3,Task!$K$5:$K$404,"Không áp dụng")),"Xong",IF(COUNTIFS(Task!$A$5:$A$404,$A26,Task!$C$5:$C$404,M$3,Task!$K$5:$K$404,"Bị chặn")&gt;0,"Bị chặn",IF(COUNTIFS(Task!$A$5:$A$404,$A26,Task!$C$5:$C$404,M$3,Task!$K$5:$K$404,"Hoàn thành")+COUNTIFS(Task!$A$5:$A$404,$A26,Task!$C$5:$C$404,M$3,Task!$K$5:$K$404,"Đang làm")&gt;0,"Đang làm","Chưa")))))</f>
        <v/>
      </c>
      <c r="N26" s="14" t="str">
        <f aca="false">IF($A26="","",IF(F26&lt;&gt;"Xong",1,IF(G26&lt;&gt;"Xong",2,IF(H26&lt;&gt;"Xong",3,IF(I26&lt;&gt;"Xong",4,IF(J26&lt;&gt;"Xong",5,IF(K26&lt;&gt;"Xong",6,IF(L26&lt;&gt;"Xong",7,IF(M26&lt;&gt;"Xong",8,9)))))))))</f>
        <v/>
      </c>
      <c r="O26" s="14" t="str">
        <f aca="false">IF($A26="","",IF($N26=9,"Hoàn tất",INDEX('Quy trình'!$B$5:$B$12,$N26)))</f>
        <v/>
      </c>
      <c r="P26" s="14" t="str">
        <f aca="false">IF($A26="","",COUNTIFS(Task!$A$5:$A$404,$A26)-COUNTIFS(Task!$A$5:$A$404,$A26,Task!$K$5:$K$404,"Không áp dụng"))</f>
        <v/>
      </c>
      <c r="Q26" s="14" t="str">
        <f aca="false">IF($A26="","",COUNTIFS(Task!$A$5:$A$404,$A26,Task!$K$5:$K$404,"Hoàn thành"))</f>
        <v/>
      </c>
      <c r="R26" s="16" t="str">
        <f aca="false">IF($A26="","",Q26/MAX(P26,COUNTA('Mẫu task'!$A$5:$A$64)))</f>
        <v/>
      </c>
      <c r="S26" s="14" t="str">
        <f aca="false">IF($A26="","",SUMIFS(Task!$O$5:$O$404,Task!$A$5:$A$404,$A26))</f>
        <v/>
      </c>
      <c r="T26" s="14" t="str">
        <f aca="false">IF($A26="","",COUNTIFS(Task!$A$5:$A$404,$A26,Task!$K$5:$K$404,"Bị chặn"))</f>
        <v/>
      </c>
      <c r="U26" s="14" t="str">
        <f aca="false">IF($A26="","",IF(P26=0,"Chưa có task",IF(T26&gt;0,"Bị chặn",IF(S26&gt;0,"Có việc trễ",IF(N26=9,"Hoàn tất","Đúng tiến độ")))))</f>
        <v/>
      </c>
      <c r="V26" s="14" t="str">
        <f aca="false">IF($A26="","",IFERROR(INDEX('Chấm điểm'!$D$16:$M$16,MATCH($A26,'Chấm điểm'!$D$4:$M$4,0)),""))</f>
        <v/>
      </c>
    </row>
    <row r="27" customFormat="false" ht="15" hidden="false" customHeight="false" outlineLevel="0" collapsed="false">
      <c r="A27" s="19"/>
      <c r="B27" s="19"/>
      <c r="C27" s="19"/>
      <c r="D27" s="19"/>
      <c r="E27" s="20"/>
      <c r="F27" s="14" t="str">
        <f aca="false">IF($A27="","",IF((COUNTIFS(Task!$A$5:$A$404,$A27,Task!$C$5:$C$404,F$3)-COUNTIFS(Task!$A$5:$A$404,$A27,Task!$C$5:$C$404,F$3,Task!$K$5:$K$404,"Không áp dụng"))=0,"–",IF(COUNTIFS(Task!$A$5:$A$404,$A27,Task!$C$5:$C$404,F$3,Task!$K$5:$K$404,"Hoàn thành")=(COUNTIFS(Task!$A$5:$A$404,$A27,Task!$C$5:$C$404,F$3)-COUNTIFS(Task!$A$5:$A$404,$A27,Task!$C$5:$C$404,F$3,Task!$K$5:$K$404,"Không áp dụng")),"Xong",IF(COUNTIFS(Task!$A$5:$A$404,$A27,Task!$C$5:$C$404,F$3,Task!$K$5:$K$404,"Bị chặn")&gt;0,"Bị chặn",IF(COUNTIFS(Task!$A$5:$A$404,$A27,Task!$C$5:$C$404,F$3,Task!$K$5:$K$404,"Hoàn thành")+COUNTIFS(Task!$A$5:$A$404,$A27,Task!$C$5:$C$404,F$3,Task!$K$5:$K$404,"Đang làm")&gt;0,"Đang làm","Chưa")))))</f>
        <v/>
      </c>
      <c r="G27" s="14" t="str">
        <f aca="false">IF($A27="","",IF((COUNTIFS(Task!$A$5:$A$404,$A27,Task!$C$5:$C$404,G$3)-COUNTIFS(Task!$A$5:$A$404,$A27,Task!$C$5:$C$404,G$3,Task!$K$5:$K$404,"Không áp dụng"))=0,"–",IF(COUNTIFS(Task!$A$5:$A$404,$A27,Task!$C$5:$C$404,G$3,Task!$K$5:$K$404,"Hoàn thành")=(COUNTIFS(Task!$A$5:$A$404,$A27,Task!$C$5:$C$404,G$3)-COUNTIFS(Task!$A$5:$A$404,$A27,Task!$C$5:$C$404,G$3,Task!$K$5:$K$404,"Không áp dụng")),"Xong",IF(COUNTIFS(Task!$A$5:$A$404,$A27,Task!$C$5:$C$404,G$3,Task!$K$5:$K$404,"Bị chặn")&gt;0,"Bị chặn",IF(COUNTIFS(Task!$A$5:$A$404,$A27,Task!$C$5:$C$404,G$3,Task!$K$5:$K$404,"Hoàn thành")+COUNTIFS(Task!$A$5:$A$404,$A27,Task!$C$5:$C$404,G$3,Task!$K$5:$K$404,"Đang làm")&gt;0,"Đang làm","Chưa")))))</f>
        <v/>
      </c>
      <c r="H27" s="14" t="str">
        <f aca="false">IF($A27="","",IF((COUNTIFS(Task!$A$5:$A$404,$A27,Task!$C$5:$C$404,H$3)-COUNTIFS(Task!$A$5:$A$404,$A27,Task!$C$5:$C$404,H$3,Task!$K$5:$K$404,"Không áp dụng"))=0,"–",IF(COUNTIFS(Task!$A$5:$A$404,$A27,Task!$C$5:$C$404,H$3,Task!$K$5:$K$404,"Hoàn thành")=(COUNTIFS(Task!$A$5:$A$404,$A27,Task!$C$5:$C$404,H$3)-COUNTIFS(Task!$A$5:$A$404,$A27,Task!$C$5:$C$404,H$3,Task!$K$5:$K$404,"Không áp dụng")),"Xong",IF(COUNTIFS(Task!$A$5:$A$404,$A27,Task!$C$5:$C$404,H$3,Task!$K$5:$K$404,"Bị chặn")&gt;0,"Bị chặn",IF(COUNTIFS(Task!$A$5:$A$404,$A27,Task!$C$5:$C$404,H$3,Task!$K$5:$K$404,"Hoàn thành")+COUNTIFS(Task!$A$5:$A$404,$A27,Task!$C$5:$C$404,H$3,Task!$K$5:$K$404,"Đang làm")&gt;0,"Đang làm","Chưa")))))</f>
        <v/>
      </c>
      <c r="I27" s="14" t="str">
        <f aca="false">IF($A27="","",IF((COUNTIFS(Task!$A$5:$A$404,$A27,Task!$C$5:$C$404,I$3)-COUNTIFS(Task!$A$5:$A$404,$A27,Task!$C$5:$C$404,I$3,Task!$K$5:$K$404,"Không áp dụng"))=0,"–",IF(COUNTIFS(Task!$A$5:$A$404,$A27,Task!$C$5:$C$404,I$3,Task!$K$5:$K$404,"Hoàn thành")=(COUNTIFS(Task!$A$5:$A$404,$A27,Task!$C$5:$C$404,I$3)-COUNTIFS(Task!$A$5:$A$404,$A27,Task!$C$5:$C$404,I$3,Task!$K$5:$K$404,"Không áp dụng")),"Xong",IF(COUNTIFS(Task!$A$5:$A$404,$A27,Task!$C$5:$C$404,I$3,Task!$K$5:$K$404,"Bị chặn")&gt;0,"Bị chặn",IF(COUNTIFS(Task!$A$5:$A$404,$A27,Task!$C$5:$C$404,I$3,Task!$K$5:$K$404,"Hoàn thành")+COUNTIFS(Task!$A$5:$A$404,$A27,Task!$C$5:$C$404,I$3,Task!$K$5:$K$404,"Đang làm")&gt;0,"Đang làm","Chưa")))))</f>
        <v/>
      </c>
      <c r="J27" s="14" t="str">
        <f aca="false">IF($A27="","",IF((COUNTIFS(Task!$A$5:$A$404,$A27,Task!$C$5:$C$404,J$3)-COUNTIFS(Task!$A$5:$A$404,$A27,Task!$C$5:$C$404,J$3,Task!$K$5:$K$404,"Không áp dụng"))=0,"–",IF(COUNTIFS(Task!$A$5:$A$404,$A27,Task!$C$5:$C$404,J$3,Task!$K$5:$K$404,"Hoàn thành")=(COUNTIFS(Task!$A$5:$A$404,$A27,Task!$C$5:$C$404,J$3)-COUNTIFS(Task!$A$5:$A$404,$A27,Task!$C$5:$C$404,J$3,Task!$K$5:$K$404,"Không áp dụng")),"Xong",IF(COUNTIFS(Task!$A$5:$A$404,$A27,Task!$C$5:$C$404,J$3,Task!$K$5:$K$404,"Bị chặn")&gt;0,"Bị chặn",IF(COUNTIFS(Task!$A$5:$A$404,$A27,Task!$C$5:$C$404,J$3,Task!$K$5:$K$404,"Hoàn thành")+COUNTIFS(Task!$A$5:$A$404,$A27,Task!$C$5:$C$404,J$3,Task!$K$5:$K$404,"Đang làm")&gt;0,"Đang làm","Chưa")))))</f>
        <v/>
      </c>
      <c r="K27" s="14" t="str">
        <f aca="false">IF($A27="","",IF((COUNTIFS(Task!$A$5:$A$404,$A27,Task!$C$5:$C$404,K$3)-COUNTIFS(Task!$A$5:$A$404,$A27,Task!$C$5:$C$404,K$3,Task!$K$5:$K$404,"Không áp dụng"))=0,"–",IF(COUNTIFS(Task!$A$5:$A$404,$A27,Task!$C$5:$C$404,K$3,Task!$K$5:$K$404,"Hoàn thành")=(COUNTIFS(Task!$A$5:$A$404,$A27,Task!$C$5:$C$404,K$3)-COUNTIFS(Task!$A$5:$A$404,$A27,Task!$C$5:$C$404,K$3,Task!$K$5:$K$404,"Không áp dụng")),"Xong",IF(COUNTIFS(Task!$A$5:$A$404,$A27,Task!$C$5:$C$404,K$3,Task!$K$5:$K$404,"Bị chặn")&gt;0,"Bị chặn",IF(COUNTIFS(Task!$A$5:$A$404,$A27,Task!$C$5:$C$404,K$3,Task!$K$5:$K$404,"Hoàn thành")+COUNTIFS(Task!$A$5:$A$404,$A27,Task!$C$5:$C$404,K$3,Task!$K$5:$K$404,"Đang làm")&gt;0,"Đang làm","Chưa")))))</f>
        <v/>
      </c>
      <c r="L27" s="14" t="str">
        <f aca="false">IF($A27="","",IF((COUNTIFS(Task!$A$5:$A$404,$A27,Task!$C$5:$C$404,L$3)-COUNTIFS(Task!$A$5:$A$404,$A27,Task!$C$5:$C$404,L$3,Task!$K$5:$K$404,"Không áp dụng"))=0,"–",IF(COUNTIFS(Task!$A$5:$A$404,$A27,Task!$C$5:$C$404,L$3,Task!$K$5:$K$404,"Hoàn thành")=(COUNTIFS(Task!$A$5:$A$404,$A27,Task!$C$5:$C$404,L$3)-COUNTIFS(Task!$A$5:$A$404,$A27,Task!$C$5:$C$404,L$3,Task!$K$5:$K$404,"Không áp dụng")),"Xong",IF(COUNTIFS(Task!$A$5:$A$404,$A27,Task!$C$5:$C$404,L$3,Task!$K$5:$K$404,"Bị chặn")&gt;0,"Bị chặn",IF(COUNTIFS(Task!$A$5:$A$404,$A27,Task!$C$5:$C$404,L$3,Task!$K$5:$K$404,"Hoàn thành")+COUNTIFS(Task!$A$5:$A$404,$A27,Task!$C$5:$C$404,L$3,Task!$K$5:$K$404,"Đang làm")&gt;0,"Đang làm","Chưa")))))</f>
        <v/>
      </c>
      <c r="M27" s="14" t="str">
        <f aca="false">IF($A27="","",IF((COUNTIFS(Task!$A$5:$A$404,$A27,Task!$C$5:$C$404,M$3)-COUNTIFS(Task!$A$5:$A$404,$A27,Task!$C$5:$C$404,M$3,Task!$K$5:$K$404,"Không áp dụng"))=0,"–",IF(COUNTIFS(Task!$A$5:$A$404,$A27,Task!$C$5:$C$404,M$3,Task!$K$5:$K$404,"Hoàn thành")=(COUNTIFS(Task!$A$5:$A$404,$A27,Task!$C$5:$C$404,M$3)-COUNTIFS(Task!$A$5:$A$404,$A27,Task!$C$5:$C$404,M$3,Task!$K$5:$K$404,"Không áp dụng")),"Xong",IF(COUNTIFS(Task!$A$5:$A$404,$A27,Task!$C$5:$C$404,M$3,Task!$K$5:$K$404,"Bị chặn")&gt;0,"Bị chặn",IF(COUNTIFS(Task!$A$5:$A$404,$A27,Task!$C$5:$C$404,M$3,Task!$K$5:$K$404,"Hoàn thành")+COUNTIFS(Task!$A$5:$A$404,$A27,Task!$C$5:$C$404,M$3,Task!$K$5:$K$404,"Đang làm")&gt;0,"Đang làm","Chưa")))))</f>
        <v/>
      </c>
      <c r="N27" s="14" t="str">
        <f aca="false">IF($A27="","",IF(F27&lt;&gt;"Xong",1,IF(G27&lt;&gt;"Xong",2,IF(H27&lt;&gt;"Xong",3,IF(I27&lt;&gt;"Xong",4,IF(J27&lt;&gt;"Xong",5,IF(K27&lt;&gt;"Xong",6,IF(L27&lt;&gt;"Xong",7,IF(M27&lt;&gt;"Xong",8,9)))))))))</f>
        <v/>
      </c>
      <c r="O27" s="14" t="str">
        <f aca="false">IF($A27="","",IF($N27=9,"Hoàn tất",INDEX('Quy trình'!$B$5:$B$12,$N27)))</f>
        <v/>
      </c>
      <c r="P27" s="14" t="str">
        <f aca="false">IF($A27="","",COUNTIFS(Task!$A$5:$A$404,$A27)-COUNTIFS(Task!$A$5:$A$404,$A27,Task!$K$5:$K$404,"Không áp dụng"))</f>
        <v/>
      </c>
      <c r="Q27" s="14" t="str">
        <f aca="false">IF($A27="","",COUNTIFS(Task!$A$5:$A$404,$A27,Task!$K$5:$K$404,"Hoàn thành"))</f>
        <v/>
      </c>
      <c r="R27" s="16" t="str">
        <f aca="false">IF($A27="","",Q27/MAX(P27,COUNTA('Mẫu task'!$A$5:$A$64)))</f>
        <v/>
      </c>
      <c r="S27" s="14" t="str">
        <f aca="false">IF($A27="","",SUMIFS(Task!$O$5:$O$404,Task!$A$5:$A$404,$A27))</f>
        <v/>
      </c>
      <c r="T27" s="14" t="str">
        <f aca="false">IF($A27="","",COUNTIFS(Task!$A$5:$A$404,$A27,Task!$K$5:$K$404,"Bị chặn"))</f>
        <v/>
      </c>
      <c r="U27" s="14" t="str">
        <f aca="false">IF($A27="","",IF(P27=0,"Chưa có task",IF(T27&gt;0,"Bị chặn",IF(S27&gt;0,"Có việc trễ",IF(N27=9,"Hoàn tất","Đúng tiến độ")))))</f>
        <v/>
      </c>
      <c r="V27" s="14" t="str">
        <f aca="false">IF($A27="","",IFERROR(INDEX('Chấm điểm'!$D$16:$M$16,MATCH($A27,'Chấm điểm'!$D$4:$M$4,0)),""))</f>
        <v/>
      </c>
    </row>
    <row r="28" customFormat="false" ht="15" hidden="false" customHeight="false" outlineLevel="0" collapsed="false">
      <c r="A28" s="19"/>
      <c r="B28" s="19"/>
      <c r="C28" s="19"/>
      <c r="D28" s="19"/>
      <c r="E28" s="20"/>
      <c r="F28" s="14" t="str">
        <f aca="false">IF($A28="","",IF((COUNTIFS(Task!$A$5:$A$404,$A28,Task!$C$5:$C$404,F$3)-COUNTIFS(Task!$A$5:$A$404,$A28,Task!$C$5:$C$404,F$3,Task!$K$5:$K$404,"Không áp dụng"))=0,"–",IF(COUNTIFS(Task!$A$5:$A$404,$A28,Task!$C$5:$C$404,F$3,Task!$K$5:$K$404,"Hoàn thành")=(COUNTIFS(Task!$A$5:$A$404,$A28,Task!$C$5:$C$404,F$3)-COUNTIFS(Task!$A$5:$A$404,$A28,Task!$C$5:$C$404,F$3,Task!$K$5:$K$404,"Không áp dụng")),"Xong",IF(COUNTIFS(Task!$A$5:$A$404,$A28,Task!$C$5:$C$404,F$3,Task!$K$5:$K$404,"Bị chặn")&gt;0,"Bị chặn",IF(COUNTIFS(Task!$A$5:$A$404,$A28,Task!$C$5:$C$404,F$3,Task!$K$5:$K$404,"Hoàn thành")+COUNTIFS(Task!$A$5:$A$404,$A28,Task!$C$5:$C$404,F$3,Task!$K$5:$K$404,"Đang làm")&gt;0,"Đang làm","Chưa")))))</f>
        <v/>
      </c>
      <c r="G28" s="14" t="str">
        <f aca="false">IF($A28="","",IF((COUNTIFS(Task!$A$5:$A$404,$A28,Task!$C$5:$C$404,G$3)-COUNTIFS(Task!$A$5:$A$404,$A28,Task!$C$5:$C$404,G$3,Task!$K$5:$K$404,"Không áp dụng"))=0,"–",IF(COUNTIFS(Task!$A$5:$A$404,$A28,Task!$C$5:$C$404,G$3,Task!$K$5:$K$404,"Hoàn thành")=(COUNTIFS(Task!$A$5:$A$404,$A28,Task!$C$5:$C$404,G$3)-COUNTIFS(Task!$A$5:$A$404,$A28,Task!$C$5:$C$404,G$3,Task!$K$5:$K$404,"Không áp dụng")),"Xong",IF(COUNTIFS(Task!$A$5:$A$404,$A28,Task!$C$5:$C$404,G$3,Task!$K$5:$K$404,"Bị chặn")&gt;0,"Bị chặn",IF(COUNTIFS(Task!$A$5:$A$404,$A28,Task!$C$5:$C$404,G$3,Task!$K$5:$K$404,"Hoàn thành")+COUNTIFS(Task!$A$5:$A$404,$A28,Task!$C$5:$C$404,G$3,Task!$K$5:$K$404,"Đang làm")&gt;0,"Đang làm","Chưa")))))</f>
        <v/>
      </c>
      <c r="H28" s="14" t="str">
        <f aca="false">IF($A28="","",IF((COUNTIFS(Task!$A$5:$A$404,$A28,Task!$C$5:$C$404,H$3)-COUNTIFS(Task!$A$5:$A$404,$A28,Task!$C$5:$C$404,H$3,Task!$K$5:$K$404,"Không áp dụng"))=0,"–",IF(COUNTIFS(Task!$A$5:$A$404,$A28,Task!$C$5:$C$404,H$3,Task!$K$5:$K$404,"Hoàn thành")=(COUNTIFS(Task!$A$5:$A$404,$A28,Task!$C$5:$C$404,H$3)-COUNTIFS(Task!$A$5:$A$404,$A28,Task!$C$5:$C$404,H$3,Task!$K$5:$K$404,"Không áp dụng")),"Xong",IF(COUNTIFS(Task!$A$5:$A$404,$A28,Task!$C$5:$C$404,H$3,Task!$K$5:$K$404,"Bị chặn")&gt;0,"Bị chặn",IF(COUNTIFS(Task!$A$5:$A$404,$A28,Task!$C$5:$C$404,H$3,Task!$K$5:$K$404,"Hoàn thành")+COUNTIFS(Task!$A$5:$A$404,$A28,Task!$C$5:$C$404,H$3,Task!$K$5:$K$404,"Đang làm")&gt;0,"Đang làm","Chưa")))))</f>
        <v/>
      </c>
      <c r="I28" s="14" t="str">
        <f aca="false">IF($A28="","",IF((COUNTIFS(Task!$A$5:$A$404,$A28,Task!$C$5:$C$404,I$3)-COUNTIFS(Task!$A$5:$A$404,$A28,Task!$C$5:$C$404,I$3,Task!$K$5:$K$404,"Không áp dụng"))=0,"–",IF(COUNTIFS(Task!$A$5:$A$404,$A28,Task!$C$5:$C$404,I$3,Task!$K$5:$K$404,"Hoàn thành")=(COUNTIFS(Task!$A$5:$A$404,$A28,Task!$C$5:$C$404,I$3)-COUNTIFS(Task!$A$5:$A$404,$A28,Task!$C$5:$C$404,I$3,Task!$K$5:$K$404,"Không áp dụng")),"Xong",IF(COUNTIFS(Task!$A$5:$A$404,$A28,Task!$C$5:$C$404,I$3,Task!$K$5:$K$404,"Bị chặn")&gt;0,"Bị chặn",IF(COUNTIFS(Task!$A$5:$A$404,$A28,Task!$C$5:$C$404,I$3,Task!$K$5:$K$404,"Hoàn thành")+COUNTIFS(Task!$A$5:$A$404,$A28,Task!$C$5:$C$404,I$3,Task!$K$5:$K$404,"Đang làm")&gt;0,"Đang làm","Chưa")))))</f>
        <v/>
      </c>
      <c r="J28" s="14" t="str">
        <f aca="false">IF($A28="","",IF((COUNTIFS(Task!$A$5:$A$404,$A28,Task!$C$5:$C$404,J$3)-COUNTIFS(Task!$A$5:$A$404,$A28,Task!$C$5:$C$404,J$3,Task!$K$5:$K$404,"Không áp dụng"))=0,"–",IF(COUNTIFS(Task!$A$5:$A$404,$A28,Task!$C$5:$C$404,J$3,Task!$K$5:$K$404,"Hoàn thành")=(COUNTIFS(Task!$A$5:$A$404,$A28,Task!$C$5:$C$404,J$3)-COUNTIFS(Task!$A$5:$A$404,$A28,Task!$C$5:$C$404,J$3,Task!$K$5:$K$404,"Không áp dụng")),"Xong",IF(COUNTIFS(Task!$A$5:$A$404,$A28,Task!$C$5:$C$404,J$3,Task!$K$5:$K$404,"Bị chặn")&gt;0,"Bị chặn",IF(COUNTIFS(Task!$A$5:$A$404,$A28,Task!$C$5:$C$404,J$3,Task!$K$5:$K$404,"Hoàn thành")+COUNTIFS(Task!$A$5:$A$404,$A28,Task!$C$5:$C$404,J$3,Task!$K$5:$K$404,"Đang làm")&gt;0,"Đang làm","Chưa")))))</f>
        <v/>
      </c>
      <c r="K28" s="14" t="str">
        <f aca="false">IF($A28="","",IF((COUNTIFS(Task!$A$5:$A$404,$A28,Task!$C$5:$C$404,K$3)-COUNTIFS(Task!$A$5:$A$404,$A28,Task!$C$5:$C$404,K$3,Task!$K$5:$K$404,"Không áp dụng"))=0,"–",IF(COUNTIFS(Task!$A$5:$A$404,$A28,Task!$C$5:$C$404,K$3,Task!$K$5:$K$404,"Hoàn thành")=(COUNTIFS(Task!$A$5:$A$404,$A28,Task!$C$5:$C$404,K$3)-COUNTIFS(Task!$A$5:$A$404,$A28,Task!$C$5:$C$404,K$3,Task!$K$5:$K$404,"Không áp dụng")),"Xong",IF(COUNTIFS(Task!$A$5:$A$404,$A28,Task!$C$5:$C$404,K$3,Task!$K$5:$K$404,"Bị chặn")&gt;0,"Bị chặn",IF(COUNTIFS(Task!$A$5:$A$404,$A28,Task!$C$5:$C$404,K$3,Task!$K$5:$K$404,"Hoàn thành")+COUNTIFS(Task!$A$5:$A$404,$A28,Task!$C$5:$C$404,K$3,Task!$K$5:$K$404,"Đang làm")&gt;0,"Đang làm","Chưa")))))</f>
        <v/>
      </c>
      <c r="L28" s="14" t="str">
        <f aca="false">IF($A28="","",IF((COUNTIFS(Task!$A$5:$A$404,$A28,Task!$C$5:$C$404,L$3)-COUNTIFS(Task!$A$5:$A$404,$A28,Task!$C$5:$C$404,L$3,Task!$K$5:$K$404,"Không áp dụng"))=0,"–",IF(COUNTIFS(Task!$A$5:$A$404,$A28,Task!$C$5:$C$404,L$3,Task!$K$5:$K$404,"Hoàn thành")=(COUNTIFS(Task!$A$5:$A$404,$A28,Task!$C$5:$C$404,L$3)-COUNTIFS(Task!$A$5:$A$404,$A28,Task!$C$5:$C$404,L$3,Task!$K$5:$K$404,"Không áp dụng")),"Xong",IF(COUNTIFS(Task!$A$5:$A$404,$A28,Task!$C$5:$C$404,L$3,Task!$K$5:$K$404,"Bị chặn")&gt;0,"Bị chặn",IF(COUNTIFS(Task!$A$5:$A$404,$A28,Task!$C$5:$C$404,L$3,Task!$K$5:$K$404,"Hoàn thành")+COUNTIFS(Task!$A$5:$A$404,$A28,Task!$C$5:$C$404,L$3,Task!$K$5:$K$404,"Đang làm")&gt;0,"Đang làm","Chưa")))))</f>
        <v/>
      </c>
      <c r="M28" s="14" t="str">
        <f aca="false">IF($A28="","",IF((COUNTIFS(Task!$A$5:$A$404,$A28,Task!$C$5:$C$404,M$3)-COUNTIFS(Task!$A$5:$A$404,$A28,Task!$C$5:$C$404,M$3,Task!$K$5:$K$404,"Không áp dụng"))=0,"–",IF(COUNTIFS(Task!$A$5:$A$404,$A28,Task!$C$5:$C$404,M$3,Task!$K$5:$K$404,"Hoàn thành")=(COUNTIFS(Task!$A$5:$A$404,$A28,Task!$C$5:$C$404,M$3)-COUNTIFS(Task!$A$5:$A$404,$A28,Task!$C$5:$C$404,M$3,Task!$K$5:$K$404,"Không áp dụng")),"Xong",IF(COUNTIFS(Task!$A$5:$A$404,$A28,Task!$C$5:$C$404,M$3,Task!$K$5:$K$404,"Bị chặn")&gt;0,"Bị chặn",IF(COUNTIFS(Task!$A$5:$A$404,$A28,Task!$C$5:$C$404,M$3,Task!$K$5:$K$404,"Hoàn thành")+COUNTIFS(Task!$A$5:$A$404,$A28,Task!$C$5:$C$404,M$3,Task!$K$5:$K$404,"Đang làm")&gt;0,"Đang làm","Chưa")))))</f>
        <v/>
      </c>
      <c r="N28" s="14" t="str">
        <f aca="false">IF($A28="","",IF(F28&lt;&gt;"Xong",1,IF(G28&lt;&gt;"Xong",2,IF(H28&lt;&gt;"Xong",3,IF(I28&lt;&gt;"Xong",4,IF(J28&lt;&gt;"Xong",5,IF(K28&lt;&gt;"Xong",6,IF(L28&lt;&gt;"Xong",7,IF(M28&lt;&gt;"Xong",8,9)))))))))</f>
        <v/>
      </c>
      <c r="O28" s="14" t="str">
        <f aca="false">IF($A28="","",IF($N28=9,"Hoàn tất",INDEX('Quy trình'!$B$5:$B$12,$N28)))</f>
        <v/>
      </c>
      <c r="P28" s="14" t="str">
        <f aca="false">IF($A28="","",COUNTIFS(Task!$A$5:$A$404,$A28)-COUNTIFS(Task!$A$5:$A$404,$A28,Task!$K$5:$K$404,"Không áp dụng"))</f>
        <v/>
      </c>
      <c r="Q28" s="14" t="str">
        <f aca="false">IF($A28="","",COUNTIFS(Task!$A$5:$A$404,$A28,Task!$K$5:$K$404,"Hoàn thành"))</f>
        <v/>
      </c>
      <c r="R28" s="16" t="str">
        <f aca="false">IF($A28="","",Q28/MAX(P28,COUNTA('Mẫu task'!$A$5:$A$64)))</f>
        <v/>
      </c>
      <c r="S28" s="14" t="str">
        <f aca="false">IF($A28="","",SUMIFS(Task!$O$5:$O$404,Task!$A$5:$A$404,$A28))</f>
        <v/>
      </c>
      <c r="T28" s="14" t="str">
        <f aca="false">IF($A28="","",COUNTIFS(Task!$A$5:$A$404,$A28,Task!$K$5:$K$404,"Bị chặn"))</f>
        <v/>
      </c>
      <c r="U28" s="14" t="str">
        <f aca="false">IF($A28="","",IF(P28=0,"Chưa có task",IF(T28&gt;0,"Bị chặn",IF(S28&gt;0,"Có việc trễ",IF(N28=9,"Hoàn tất","Đúng tiến độ")))))</f>
        <v/>
      </c>
      <c r="V28" s="14" t="str">
        <f aca="false">IF($A28="","",IFERROR(INDEX('Chấm điểm'!$D$16:$M$16,MATCH($A28,'Chấm điểm'!$D$4:$M$4,0)),""))</f>
        <v/>
      </c>
    </row>
    <row r="29" customFormat="false" ht="15" hidden="false" customHeight="false" outlineLevel="0" collapsed="false">
      <c r="A29" s="19"/>
      <c r="B29" s="19"/>
      <c r="C29" s="19"/>
      <c r="D29" s="19"/>
      <c r="E29" s="20"/>
      <c r="F29" s="14" t="str">
        <f aca="false">IF($A29="","",IF((COUNTIFS(Task!$A$5:$A$404,$A29,Task!$C$5:$C$404,F$3)-COUNTIFS(Task!$A$5:$A$404,$A29,Task!$C$5:$C$404,F$3,Task!$K$5:$K$404,"Không áp dụng"))=0,"–",IF(COUNTIFS(Task!$A$5:$A$404,$A29,Task!$C$5:$C$404,F$3,Task!$K$5:$K$404,"Hoàn thành")=(COUNTIFS(Task!$A$5:$A$404,$A29,Task!$C$5:$C$404,F$3)-COUNTIFS(Task!$A$5:$A$404,$A29,Task!$C$5:$C$404,F$3,Task!$K$5:$K$404,"Không áp dụng")),"Xong",IF(COUNTIFS(Task!$A$5:$A$404,$A29,Task!$C$5:$C$404,F$3,Task!$K$5:$K$404,"Bị chặn")&gt;0,"Bị chặn",IF(COUNTIFS(Task!$A$5:$A$404,$A29,Task!$C$5:$C$404,F$3,Task!$K$5:$K$404,"Hoàn thành")+COUNTIFS(Task!$A$5:$A$404,$A29,Task!$C$5:$C$404,F$3,Task!$K$5:$K$404,"Đang làm")&gt;0,"Đang làm","Chưa")))))</f>
        <v/>
      </c>
      <c r="G29" s="14" t="str">
        <f aca="false">IF($A29="","",IF((COUNTIFS(Task!$A$5:$A$404,$A29,Task!$C$5:$C$404,G$3)-COUNTIFS(Task!$A$5:$A$404,$A29,Task!$C$5:$C$404,G$3,Task!$K$5:$K$404,"Không áp dụng"))=0,"–",IF(COUNTIFS(Task!$A$5:$A$404,$A29,Task!$C$5:$C$404,G$3,Task!$K$5:$K$404,"Hoàn thành")=(COUNTIFS(Task!$A$5:$A$404,$A29,Task!$C$5:$C$404,G$3)-COUNTIFS(Task!$A$5:$A$404,$A29,Task!$C$5:$C$404,G$3,Task!$K$5:$K$404,"Không áp dụng")),"Xong",IF(COUNTIFS(Task!$A$5:$A$404,$A29,Task!$C$5:$C$404,G$3,Task!$K$5:$K$404,"Bị chặn")&gt;0,"Bị chặn",IF(COUNTIFS(Task!$A$5:$A$404,$A29,Task!$C$5:$C$404,G$3,Task!$K$5:$K$404,"Hoàn thành")+COUNTIFS(Task!$A$5:$A$404,$A29,Task!$C$5:$C$404,G$3,Task!$K$5:$K$404,"Đang làm")&gt;0,"Đang làm","Chưa")))))</f>
        <v/>
      </c>
      <c r="H29" s="14" t="str">
        <f aca="false">IF($A29="","",IF((COUNTIFS(Task!$A$5:$A$404,$A29,Task!$C$5:$C$404,H$3)-COUNTIFS(Task!$A$5:$A$404,$A29,Task!$C$5:$C$404,H$3,Task!$K$5:$K$404,"Không áp dụng"))=0,"–",IF(COUNTIFS(Task!$A$5:$A$404,$A29,Task!$C$5:$C$404,H$3,Task!$K$5:$K$404,"Hoàn thành")=(COUNTIFS(Task!$A$5:$A$404,$A29,Task!$C$5:$C$404,H$3)-COUNTIFS(Task!$A$5:$A$404,$A29,Task!$C$5:$C$404,H$3,Task!$K$5:$K$404,"Không áp dụng")),"Xong",IF(COUNTIFS(Task!$A$5:$A$404,$A29,Task!$C$5:$C$404,H$3,Task!$K$5:$K$404,"Bị chặn")&gt;0,"Bị chặn",IF(COUNTIFS(Task!$A$5:$A$404,$A29,Task!$C$5:$C$404,H$3,Task!$K$5:$K$404,"Hoàn thành")+COUNTIFS(Task!$A$5:$A$404,$A29,Task!$C$5:$C$404,H$3,Task!$K$5:$K$404,"Đang làm")&gt;0,"Đang làm","Chưa")))))</f>
        <v/>
      </c>
      <c r="I29" s="14" t="str">
        <f aca="false">IF($A29="","",IF((COUNTIFS(Task!$A$5:$A$404,$A29,Task!$C$5:$C$404,I$3)-COUNTIFS(Task!$A$5:$A$404,$A29,Task!$C$5:$C$404,I$3,Task!$K$5:$K$404,"Không áp dụng"))=0,"–",IF(COUNTIFS(Task!$A$5:$A$404,$A29,Task!$C$5:$C$404,I$3,Task!$K$5:$K$404,"Hoàn thành")=(COUNTIFS(Task!$A$5:$A$404,$A29,Task!$C$5:$C$404,I$3)-COUNTIFS(Task!$A$5:$A$404,$A29,Task!$C$5:$C$404,I$3,Task!$K$5:$K$404,"Không áp dụng")),"Xong",IF(COUNTIFS(Task!$A$5:$A$404,$A29,Task!$C$5:$C$404,I$3,Task!$K$5:$K$404,"Bị chặn")&gt;0,"Bị chặn",IF(COUNTIFS(Task!$A$5:$A$404,$A29,Task!$C$5:$C$404,I$3,Task!$K$5:$K$404,"Hoàn thành")+COUNTIFS(Task!$A$5:$A$404,$A29,Task!$C$5:$C$404,I$3,Task!$K$5:$K$404,"Đang làm")&gt;0,"Đang làm","Chưa")))))</f>
        <v/>
      </c>
      <c r="J29" s="14" t="str">
        <f aca="false">IF($A29="","",IF((COUNTIFS(Task!$A$5:$A$404,$A29,Task!$C$5:$C$404,J$3)-COUNTIFS(Task!$A$5:$A$404,$A29,Task!$C$5:$C$404,J$3,Task!$K$5:$K$404,"Không áp dụng"))=0,"–",IF(COUNTIFS(Task!$A$5:$A$404,$A29,Task!$C$5:$C$404,J$3,Task!$K$5:$K$404,"Hoàn thành")=(COUNTIFS(Task!$A$5:$A$404,$A29,Task!$C$5:$C$404,J$3)-COUNTIFS(Task!$A$5:$A$404,$A29,Task!$C$5:$C$404,J$3,Task!$K$5:$K$404,"Không áp dụng")),"Xong",IF(COUNTIFS(Task!$A$5:$A$404,$A29,Task!$C$5:$C$404,J$3,Task!$K$5:$K$404,"Bị chặn")&gt;0,"Bị chặn",IF(COUNTIFS(Task!$A$5:$A$404,$A29,Task!$C$5:$C$404,J$3,Task!$K$5:$K$404,"Hoàn thành")+COUNTIFS(Task!$A$5:$A$404,$A29,Task!$C$5:$C$404,J$3,Task!$K$5:$K$404,"Đang làm")&gt;0,"Đang làm","Chưa")))))</f>
        <v/>
      </c>
      <c r="K29" s="14" t="str">
        <f aca="false">IF($A29="","",IF((COUNTIFS(Task!$A$5:$A$404,$A29,Task!$C$5:$C$404,K$3)-COUNTIFS(Task!$A$5:$A$404,$A29,Task!$C$5:$C$404,K$3,Task!$K$5:$K$404,"Không áp dụng"))=0,"–",IF(COUNTIFS(Task!$A$5:$A$404,$A29,Task!$C$5:$C$404,K$3,Task!$K$5:$K$404,"Hoàn thành")=(COUNTIFS(Task!$A$5:$A$404,$A29,Task!$C$5:$C$404,K$3)-COUNTIFS(Task!$A$5:$A$404,$A29,Task!$C$5:$C$404,K$3,Task!$K$5:$K$404,"Không áp dụng")),"Xong",IF(COUNTIFS(Task!$A$5:$A$404,$A29,Task!$C$5:$C$404,K$3,Task!$K$5:$K$404,"Bị chặn")&gt;0,"Bị chặn",IF(COUNTIFS(Task!$A$5:$A$404,$A29,Task!$C$5:$C$404,K$3,Task!$K$5:$K$404,"Hoàn thành")+COUNTIFS(Task!$A$5:$A$404,$A29,Task!$C$5:$C$404,K$3,Task!$K$5:$K$404,"Đang làm")&gt;0,"Đang làm","Chưa")))))</f>
        <v/>
      </c>
      <c r="L29" s="14" t="str">
        <f aca="false">IF($A29="","",IF((COUNTIFS(Task!$A$5:$A$404,$A29,Task!$C$5:$C$404,L$3)-COUNTIFS(Task!$A$5:$A$404,$A29,Task!$C$5:$C$404,L$3,Task!$K$5:$K$404,"Không áp dụng"))=0,"–",IF(COUNTIFS(Task!$A$5:$A$404,$A29,Task!$C$5:$C$404,L$3,Task!$K$5:$K$404,"Hoàn thành")=(COUNTIFS(Task!$A$5:$A$404,$A29,Task!$C$5:$C$404,L$3)-COUNTIFS(Task!$A$5:$A$404,$A29,Task!$C$5:$C$404,L$3,Task!$K$5:$K$404,"Không áp dụng")),"Xong",IF(COUNTIFS(Task!$A$5:$A$404,$A29,Task!$C$5:$C$404,L$3,Task!$K$5:$K$404,"Bị chặn")&gt;0,"Bị chặn",IF(COUNTIFS(Task!$A$5:$A$404,$A29,Task!$C$5:$C$404,L$3,Task!$K$5:$K$404,"Hoàn thành")+COUNTIFS(Task!$A$5:$A$404,$A29,Task!$C$5:$C$404,L$3,Task!$K$5:$K$404,"Đang làm")&gt;0,"Đang làm","Chưa")))))</f>
        <v/>
      </c>
      <c r="M29" s="14" t="str">
        <f aca="false">IF($A29="","",IF((COUNTIFS(Task!$A$5:$A$404,$A29,Task!$C$5:$C$404,M$3)-COUNTIFS(Task!$A$5:$A$404,$A29,Task!$C$5:$C$404,M$3,Task!$K$5:$K$404,"Không áp dụng"))=0,"–",IF(COUNTIFS(Task!$A$5:$A$404,$A29,Task!$C$5:$C$404,M$3,Task!$K$5:$K$404,"Hoàn thành")=(COUNTIFS(Task!$A$5:$A$404,$A29,Task!$C$5:$C$404,M$3)-COUNTIFS(Task!$A$5:$A$404,$A29,Task!$C$5:$C$404,M$3,Task!$K$5:$K$404,"Không áp dụng")),"Xong",IF(COUNTIFS(Task!$A$5:$A$404,$A29,Task!$C$5:$C$404,M$3,Task!$K$5:$K$404,"Bị chặn")&gt;0,"Bị chặn",IF(COUNTIFS(Task!$A$5:$A$404,$A29,Task!$C$5:$C$404,M$3,Task!$K$5:$K$404,"Hoàn thành")+COUNTIFS(Task!$A$5:$A$404,$A29,Task!$C$5:$C$404,M$3,Task!$K$5:$K$404,"Đang làm")&gt;0,"Đang làm","Chưa")))))</f>
        <v/>
      </c>
      <c r="N29" s="14" t="str">
        <f aca="false">IF($A29="","",IF(F29&lt;&gt;"Xong",1,IF(G29&lt;&gt;"Xong",2,IF(H29&lt;&gt;"Xong",3,IF(I29&lt;&gt;"Xong",4,IF(J29&lt;&gt;"Xong",5,IF(K29&lt;&gt;"Xong",6,IF(L29&lt;&gt;"Xong",7,IF(M29&lt;&gt;"Xong",8,9)))))))))</f>
        <v/>
      </c>
      <c r="O29" s="14" t="str">
        <f aca="false">IF($A29="","",IF($N29=9,"Hoàn tất",INDEX('Quy trình'!$B$5:$B$12,$N29)))</f>
        <v/>
      </c>
      <c r="P29" s="14" t="str">
        <f aca="false">IF($A29="","",COUNTIFS(Task!$A$5:$A$404,$A29)-COUNTIFS(Task!$A$5:$A$404,$A29,Task!$K$5:$K$404,"Không áp dụng"))</f>
        <v/>
      </c>
      <c r="Q29" s="14" t="str">
        <f aca="false">IF($A29="","",COUNTIFS(Task!$A$5:$A$404,$A29,Task!$K$5:$K$404,"Hoàn thành"))</f>
        <v/>
      </c>
      <c r="R29" s="16" t="str">
        <f aca="false">IF($A29="","",Q29/MAX(P29,COUNTA('Mẫu task'!$A$5:$A$64)))</f>
        <v/>
      </c>
      <c r="S29" s="14" t="str">
        <f aca="false">IF($A29="","",SUMIFS(Task!$O$5:$O$404,Task!$A$5:$A$404,$A29))</f>
        <v/>
      </c>
      <c r="T29" s="14" t="str">
        <f aca="false">IF($A29="","",COUNTIFS(Task!$A$5:$A$404,$A29,Task!$K$5:$K$404,"Bị chặn"))</f>
        <v/>
      </c>
      <c r="U29" s="14" t="str">
        <f aca="false">IF($A29="","",IF(P29=0,"Chưa có task",IF(T29&gt;0,"Bị chặn",IF(S29&gt;0,"Có việc trễ",IF(N29=9,"Hoàn tất","Đúng tiến độ")))))</f>
        <v/>
      </c>
      <c r="V29" s="14" t="str">
        <f aca="false">IF($A29="","",IFERROR(INDEX('Chấm điểm'!$D$16:$M$16,MATCH($A29,'Chấm điểm'!$D$4:$M$4,0)),""))</f>
        <v/>
      </c>
    </row>
    <row r="30" customFormat="false" ht="15" hidden="false" customHeight="false" outlineLevel="0" collapsed="false">
      <c r="A30" s="19"/>
      <c r="B30" s="19"/>
      <c r="C30" s="19"/>
      <c r="D30" s="19"/>
      <c r="E30" s="20"/>
      <c r="F30" s="14" t="str">
        <f aca="false">IF($A30="","",IF((COUNTIFS(Task!$A$5:$A$404,$A30,Task!$C$5:$C$404,F$3)-COUNTIFS(Task!$A$5:$A$404,$A30,Task!$C$5:$C$404,F$3,Task!$K$5:$K$404,"Không áp dụng"))=0,"–",IF(COUNTIFS(Task!$A$5:$A$404,$A30,Task!$C$5:$C$404,F$3,Task!$K$5:$K$404,"Hoàn thành")=(COUNTIFS(Task!$A$5:$A$404,$A30,Task!$C$5:$C$404,F$3)-COUNTIFS(Task!$A$5:$A$404,$A30,Task!$C$5:$C$404,F$3,Task!$K$5:$K$404,"Không áp dụng")),"Xong",IF(COUNTIFS(Task!$A$5:$A$404,$A30,Task!$C$5:$C$404,F$3,Task!$K$5:$K$404,"Bị chặn")&gt;0,"Bị chặn",IF(COUNTIFS(Task!$A$5:$A$404,$A30,Task!$C$5:$C$404,F$3,Task!$K$5:$K$404,"Hoàn thành")+COUNTIFS(Task!$A$5:$A$404,$A30,Task!$C$5:$C$404,F$3,Task!$K$5:$K$404,"Đang làm")&gt;0,"Đang làm","Chưa")))))</f>
        <v/>
      </c>
      <c r="G30" s="14" t="str">
        <f aca="false">IF($A30="","",IF((COUNTIFS(Task!$A$5:$A$404,$A30,Task!$C$5:$C$404,G$3)-COUNTIFS(Task!$A$5:$A$404,$A30,Task!$C$5:$C$404,G$3,Task!$K$5:$K$404,"Không áp dụng"))=0,"–",IF(COUNTIFS(Task!$A$5:$A$404,$A30,Task!$C$5:$C$404,G$3,Task!$K$5:$K$404,"Hoàn thành")=(COUNTIFS(Task!$A$5:$A$404,$A30,Task!$C$5:$C$404,G$3)-COUNTIFS(Task!$A$5:$A$404,$A30,Task!$C$5:$C$404,G$3,Task!$K$5:$K$404,"Không áp dụng")),"Xong",IF(COUNTIFS(Task!$A$5:$A$404,$A30,Task!$C$5:$C$404,G$3,Task!$K$5:$K$404,"Bị chặn")&gt;0,"Bị chặn",IF(COUNTIFS(Task!$A$5:$A$404,$A30,Task!$C$5:$C$404,G$3,Task!$K$5:$K$404,"Hoàn thành")+COUNTIFS(Task!$A$5:$A$404,$A30,Task!$C$5:$C$404,G$3,Task!$K$5:$K$404,"Đang làm")&gt;0,"Đang làm","Chưa")))))</f>
        <v/>
      </c>
      <c r="H30" s="14" t="str">
        <f aca="false">IF($A30="","",IF((COUNTIFS(Task!$A$5:$A$404,$A30,Task!$C$5:$C$404,H$3)-COUNTIFS(Task!$A$5:$A$404,$A30,Task!$C$5:$C$404,H$3,Task!$K$5:$K$404,"Không áp dụng"))=0,"–",IF(COUNTIFS(Task!$A$5:$A$404,$A30,Task!$C$5:$C$404,H$3,Task!$K$5:$K$404,"Hoàn thành")=(COUNTIFS(Task!$A$5:$A$404,$A30,Task!$C$5:$C$404,H$3)-COUNTIFS(Task!$A$5:$A$404,$A30,Task!$C$5:$C$404,H$3,Task!$K$5:$K$404,"Không áp dụng")),"Xong",IF(COUNTIFS(Task!$A$5:$A$404,$A30,Task!$C$5:$C$404,H$3,Task!$K$5:$K$404,"Bị chặn")&gt;0,"Bị chặn",IF(COUNTIFS(Task!$A$5:$A$404,$A30,Task!$C$5:$C$404,H$3,Task!$K$5:$K$404,"Hoàn thành")+COUNTIFS(Task!$A$5:$A$404,$A30,Task!$C$5:$C$404,H$3,Task!$K$5:$K$404,"Đang làm")&gt;0,"Đang làm","Chưa")))))</f>
        <v/>
      </c>
      <c r="I30" s="14" t="str">
        <f aca="false">IF($A30="","",IF((COUNTIFS(Task!$A$5:$A$404,$A30,Task!$C$5:$C$404,I$3)-COUNTIFS(Task!$A$5:$A$404,$A30,Task!$C$5:$C$404,I$3,Task!$K$5:$K$404,"Không áp dụng"))=0,"–",IF(COUNTIFS(Task!$A$5:$A$404,$A30,Task!$C$5:$C$404,I$3,Task!$K$5:$K$404,"Hoàn thành")=(COUNTIFS(Task!$A$5:$A$404,$A30,Task!$C$5:$C$404,I$3)-COUNTIFS(Task!$A$5:$A$404,$A30,Task!$C$5:$C$404,I$3,Task!$K$5:$K$404,"Không áp dụng")),"Xong",IF(COUNTIFS(Task!$A$5:$A$404,$A30,Task!$C$5:$C$404,I$3,Task!$K$5:$K$404,"Bị chặn")&gt;0,"Bị chặn",IF(COUNTIFS(Task!$A$5:$A$404,$A30,Task!$C$5:$C$404,I$3,Task!$K$5:$K$404,"Hoàn thành")+COUNTIFS(Task!$A$5:$A$404,$A30,Task!$C$5:$C$404,I$3,Task!$K$5:$K$404,"Đang làm")&gt;0,"Đang làm","Chưa")))))</f>
        <v/>
      </c>
      <c r="J30" s="14" t="str">
        <f aca="false">IF($A30="","",IF((COUNTIFS(Task!$A$5:$A$404,$A30,Task!$C$5:$C$404,J$3)-COUNTIFS(Task!$A$5:$A$404,$A30,Task!$C$5:$C$404,J$3,Task!$K$5:$K$404,"Không áp dụng"))=0,"–",IF(COUNTIFS(Task!$A$5:$A$404,$A30,Task!$C$5:$C$404,J$3,Task!$K$5:$K$404,"Hoàn thành")=(COUNTIFS(Task!$A$5:$A$404,$A30,Task!$C$5:$C$404,J$3)-COUNTIFS(Task!$A$5:$A$404,$A30,Task!$C$5:$C$404,J$3,Task!$K$5:$K$404,"Không áp dụng")),"Xong",IF(COUNTIFS(Task!$A$5:$A$404,$A30,Task!$C$5:$C$404,J$3,Task!$K$5:$K$404,"Bị chặn")&gt;0,"Bị chặn",IF(COUNTIFS(Task!$A$5:$A$404,$A30,Task!$C$5:$C$404,J$3,Task!$K$5:$K$404,"Hoàn thành")+COUNTIFS(Task!$A$5:$A$404,$A30,Task!$C$5:$C$404,J$3,Task!$K$5:$K$404,"Đang làm")&gt;0,"Đang làm","Chưa")))))</f>
        <v/>
      </c>
      <c r="K30" s="14" t="str">
        <f aca="false">IF($A30="","",IF((COUNTIFS(Task!$A$5:$A$404,$A30,Task!$C$5:$C$404,K$3)-COUNTIFS(Task!$A$5:$A$404,$A30,Task!$C$5:$C$404,K$3,Task!$K$5:$K$404,"Không áp dụng"))=0,"–",IF(COUNTIFS(Task!$A$5:$A$404,$A30,Task!$C$5:$C$404,K$3,Task!$K$5:$K$404,"Hoàn thành")=(COUNTIFS(Task!$A$5:$A$404,$A30,Task!$C$5:$C$404,K$3)-COUNTIFS(Task!$A$5:$A$404,$A30,Task!$C$5:$C$404,K$3,Task!$K$5:$K$404,"Không áp dụng")),"Xong",IF(COUNTIFS(Task!$A$5:$A$404,$A30,Task!$C$5:$C$404,K$3,Task!$K$5:$K$404,"Bị chặn")&gt;0,"Bị chặn",IF(COUNTIFS(Task!$A$5:$A$404,$A30,Task!$C$5:$C$404,K$3,Task!$K$5:$K$404,"Hoàn thành")+COUNTIFS(Task!$A$5:$A$404,$A30,Task!$C$5:$C$404,K$3,Task!$K$5:$K$404,"Đang làm")&gt;0,"Đang làm","Chưa")))))</f>
        <v/>
      </c>
      <c r="L30" s="14" t="str">
        <f aca="false">IF($A30="","",IF((COUNTIFS(Task!$A$5:$A$404,$A30,Task!$C$5:$C$404,L$3)-COUNTIFS(Task!$A$5:$A$404,$A30,Task!$C$5:$C$404,L$3,Task!$K$5:$K$404,"Không áp dụng"))=0,"–",IF(COUNTIFS(Task!$A$5:$A$404,$A30,Task!$C$5:$C$404,L$3,Task!$K$5:$K$404,"Hoàn thành")=(COUNTIFS(Task!$A$5:$A$404,$A30,Task!$C$5:$C$404,L$3)-COUNTIFS(Task!$A$5:$A$404,$A30,Task!$C$5:$C$404,L$3,Task!$K$5:$K$404,"Không áp dụng")),"Xong",IF(COUNTIFS(Task!$A$5:$A$404,$A30,Task!$C$5:$C$404,L$3,Task!$K$5:$K$404,"Bị chặn")&gt;0,"Bị chặn",IF(COUNTIFS(Task!$A$5:$A$404,$A30,Task!$C$5:$C$404,L$3,Task!$K$5:$K$404,"Hoàn thành")+COUNTIFS(Task!$A$5:$A$404,$A30,Task!$C$5:$C$404,L$3,Task!$K$5:$K$404,"Đang làm")&gt;0,"Đang làm","Chưa")))))</f>
        <v/>
      </c>
      <c r="M30" s="14" t="str">
        <f aca="false">IF($A30="","",IF((COUNTIFS(Task!$A$5:$A$404,$A30,Task!$C$5:$C$404,M$3)-COUNTIFS(Task!$A$5:$A$404,$A30,Task!$C$5:$C$404,M$3,Task!$K$5:$K$404,"Không áp dụng"))=0,"–",IF(COUNTIFS(Task!$A$5:$A$404,$A30,Task!$C$5:$C$404,M$3,Task!$K$5:$K$404,"Hoàn thành")=(COUNTIFS(Task!$A$5:$A$404,$A30,Task!$C$5:$C$404,M$3)-COUNTIFS(Task!$A$5:$A$404,$A30,Task!$C$5:$C$404,M$3,Task!$K$5:$K$404,"Không áp dụng")),"Xong",IF(COUNTIFS(Task!$A$5:$A$404,$A30,Task!$C$5:$C$404,M$3,Task!$K$5:$K$404,"Bị chặn")&gt;0,"Bị chặn",IF(COUNTIFS(Task!$A$5:$A$404,$A30,Task!$C$5:$C$404,M$3,Task!$K$5:$K$404,"Hoàn thành")+COUNTIFS(Task!$A$5:$A$404,$A30,Task!$C$5:$C$404,M$3,Task!$K$5:$K$404,"Đang làm")&gt;0,"Đang làm","Chưa")))))</f>
        <v/>
      </c>
      <c r="N30" s="14" t="str">
        <f aca="false">IF($A30="","",IF(F30&lt;&gt;"Xong",1,IF(G30&lt;&gt;"Xong",2,IF(H30&lt;&gt;"Xong",3,IF(I30&lt;&gt;"Xong",4,IF(J30&lt;&gt;"Xong",5,IF(K30&lt;&gt;"Xong",6,IF(L30&lt;&gt;"Xong",7,IF(M30&lt;&gt;"Xong",8,9)))))))))</f>
        <v/>
      </c>
      <c r="O30" s="14" t="str">
        <f aca="false">IF($A30="","",IF($N30=9,"Hoàn tất",INDEX('Quy trình'!$B$5:$B$12,$N30)))</f>
        <v/>
      </c>
      <c r="P30" s="14" t="str">
        <f aca="false">IF($A30="","",COUNTIFS(Task!$A$5:$A$404,$A30)-COUNTIFS(Task!$A$5:$A$404,$A30,Task!$K$5:$K$404,"Không áp dụng"))</f>
        <v/>
      </c>
      <c r="Q30" s="14" t="str">
        <f aca="false">IF($A30="","",COUNTIFS(Task!$A$5:$A$404,$A30,Task!$K$5:$K$404,"Hoàn thành"))</f>
        <v/>
      </c>
      <c r="R30" s="16" t="str">
        <f aca="false">IF($A30="","",Q30/MAX(P30,COUNTA('Mẫu task'!$A$5:$A$64)))</f>
        <v/>
      </c>
      <c r="S30" s="14" t="str">
        <f aca="false">IF($A30="","",SUMIFS(Task!$O$5:$O$404,Task!$A$5:$A$404,$A30))</f>
        <v/>
      </c>
      <c r="T30" s="14" t="str">
        <f aca="false">IF($A30="","",COUNTIFS(Task!$A$5:$A$404,$A30,Task!$K$5:$K$404,"Bị chặn"))</f>
        <v/>
      </c>
      <c r="U30" s="14" t="str">
        <f aca="false">IF($A30="","",IF(P30=0,"Chưa có task",IF(T30&gt;0,"Bị chặn",IF(S30&gt;0,"Có việc trễ",IF(N30=9,"Hoàn tất","Đúng tiến độ")))))</f>
        <v/>
      </c>
      <c r="V30" s="14" t="str">
        <f aca="false">IF($A30="","",IFERROR(INDEX('Chấm điểm'!$D$16:$M$16,MATCH($A30,'Chấm điểm'!$D$4:$M$4,0)),""))</f>
        <v/>
      </c>
    </row>
    <row r="31" customFormat="false" ht="15" hidden="false" customHeight="false" outlineLevel="0" collapsed="false">
      <c r="A31" s="19"/>
      <c r="B31" s="19"/>
      <c r="C31" s="19"/>
      <c r="D31" s="19"/>
      <c r="E31" s="20"/>
      <c r="F31" s="14" t="str">
        <f aca="false">IF($A31="","",IF((COUNTIFS(Task!$A$5:$A$404,$A31,Task!$C$5:$C$404,F$3)-COUNTIFS(Task!$A$5:$A$404,$A31,Task!$C$5:$C$404,F$3,Task!$K$5:$K$404,"Không áp dụng"))=0,"–",IF(COUNTIFS(Task!$A$5:$A$404,$A31,Task!$C$5:$C$404,F$3,Task!$K$5:$K$404,"Hoàn thành")=(COUNTIFS(Task!$A$5:$A$404,$A31,Task!$C$5:$C$404,F$3)-COUNTIFS(Task!$A$5:$A$404,$A31,Task!$C$5:$C$404,F$3,Task!$K$5:$K$404,"Không áp dụng")),"Xong",IF(COUNTIFS(Task!$A$5:$A$404,$A31,Task!$C$5:$C$404,F$3,Task!$K$5:$K$404,"Bị chặn")&gt;0,"Bị chặn",IF(COUNTIFS(Task!$A$5:$A$404,$A31,Task!$C$5:$C$404,F$3,Task!$K$5:$K$404,"Hoàn thành")+COUNTIFS(Task!$A$5:$A$404,$A31,Task!$C$5:$C$404,F$3,Task!$K$5:$K$404,"Đang làm")&gt;0,"Đang làm","Chưa")))))</f>
        <v/>
      </c>
      <c r="G31" s="14" t="str">
        <f aca="false">IF($A31="","",IF((COUNTIFS(Task!$A$5:$A$404,$A31,Task!$C$5:$C$404,G$3)-COUNTIFS(Task!$A$5:$A$404,$A31,Task!$C$5:$C$404,G$3,Task!$K$5:$K$404,"Không áp dụng"))=0,"–",IF(COUNTIFS(Task!$A$5:$A$404,$A31,Task!$C$5:$C$404,G$3,Task!$K$5:$K$404,"Hoàn thành")=(COUNTIFS(Task!$A$5:$A$404,$A31,Task!$C$5:$C$404,G$3)-COUNTIFS(Task!$A$5:$A$404,$A31,Task!$C$5:$C$404,G$3,Task!$K$5:$K$404,"Không áp dụng")),"Xong",IF(COUNTIFS(Task!$A$5:$A$404,$A31,Task!$C$5:$C$404,G$3,Task!$K$5:$K$404,"Bị chặn")&gt;0,"Bị chặn",IF(COUNTIFS(Task!$A$5:$A$404,$A31,Task!$C$5:$C$404,G$3,Task!$K$5:$K$404,"Hoàn thành")+COUNTIFS(Task!$A$5:$A$404,$A31,Task!$C$5:$C$404,G$3,Task!$K$5:$K$404,"Đang làm")&gt;0,"Đang làm","Chưa")))))</f>
        <v/>
      </c>
      <c r="H31" s="14" t="str">
        <f aca="false">IF($A31="","",IF((COUNTIFS(Task!$A$5:$A$404,$A31,Task!$C$5:$C$404,H$3)-COUNTIFS(Task!$A$5:$A$404,$A31,Task!$C$5:$C$404,H$3,Task!$K$5:$K$404,"Không áp dụng"))=0,"–",IF(COUNTIFS(Task!$A$5:$A$404,$A31,Task!$C$5:$C$404,H$3,Task!$K$5:$K$404,"Hoàn thành")=(COUNTIFS(Task!$A$5:$A$404,$A31,Task!$C$5:$C$404,H$3)-COUNTIFS(Task!$A$5:$A$404,$A31,Task!$C$5:$C$404,H$3,Task!$K$5:$K$404,"Không áp dụng")),"Xong",IF(COUNTIFS(Task!$A$5:$A$404,$A31,Task!$C$5:$C$404,H$3,Task!$K$5:$K$404,"Bị chặn")&gt;0,"Bị chặn",IF(COUNTIFS(Task!$A$5:$A$404,$A31,Task!$C$5:$C$404,H$3,Task!$K$5:$K$404,"Hoàn thành")+COUNTIFS(Task!$A$5:$A$404,$A31,Task!$C$5:$C$404,H$3,Task!$K$5:$K$404,"Đang làm")&gt;0,"Đang làm","Chưa")))))</f>
        <v/>
      </c>
      <c r="I31" s="14" t="str">
        <f aca="false">IF($A31="","",IF((COUNTIFS(Task!$A$5:$A$404,$A31,Task!$C$5:$C$404,I$3)-COUNTIFS(Task!$A$5:$A$404,$A31,Task!$C$5:$C$404,I$3,Task!$K$5:$K$404,"Không áp dụng"))=0,"–",IF(COUNTIFS(Task!$A$5:$A$404,$A31,Task!$C$5:$C$404,I$3,Task!$K$5:$K$404,"Hoàn thành")=(COUNTIFS(Task!$A$5:$A$404,$A31,Task!$C$5:$C$404,I$3)-COUNTIFS(Task!$A$5:$A$404,$A31,Task!$C$5:$C$404,I$3,Task!$K$5:$K$404,"Không áp dụng")),"Xong",IF(COUNTIFS(Task!$A$5:$A$404,$A31,Task!$C$5:$C$404,I$3,Task!$K$5:$K$404,"Bị chặn")&gt;0,"Bị chặn",IF(COUNTIFS(Task!$A$5:$A$404,$A31,Task!$C$5:$C$404,I$3,Task!$K$5:$K$404,"Hoàn thành")+COUNTIFS(Task!$A$5:$A$404,$A31,Task!$C$5:$C$404,I$3,Task!$K$5:$K$404,"Đang làm")&gt;0,"Đang làm","Chưa")))))</f>
        <v/>
      </c>
      <c r="J31" s="14" t="str">
        <f aca="false">IF($A31="","",IF((COUNTIFS(Task!$A$5:$A$404,$A31,Task!$C$5:$C$404,J$3)-COUNTIFS(Task!$A$5:$A$404,$A31,Task!$C$5:$C$404,J$3,Task!$K$5:$K$404,"Không áp dụng"))=0,"–",IF(COUNTIFS(Task!$A$5:$A$404,$A31,Task!$C$5:$C$404,J$3,Task!$K$5:$K$404,"Hoàn thành")=(COUNTIFS(Task!$A$5:$A$404,$A31,Task!$C$5:$C$404,J$3)-COUNTIFS(Task!$A$5:$A$404,$A31,Task!$C$5:$C$404,J$3,Task!$K$5:$K$404,"Không áp dụng")),"Xong",IF(COUNTIFS(Task!$A$5:$A$404,$A31,Task!$C$5:$C$404,J$3,Task!$K$5:$K$404,"Bị chặn")&gt;0,"Bị chặn",IF(COUNTIFS(Task!$A$5:$A$404,$A31,Task!$C$5:$C$404,J$3,Task!$K$5:$K$404,"Hoàn thành")+COUNTIFS(Task!$A$5:$A$404,$A31,Task!$C$5:$C$404,J$3,Task!$K$5:$K$404,"Đang làm")&gt;0,"Đang làm","Chưa")))))</f>
        <v/>
      </c>
      <c r="K31" s="14" t="str">
        <f aca="false">IF($A31="","",IF((COUNTIFS(Task!$A$5:$A$404,$A31,Task!$C$5:$C$404,K$3)-COUNTIFS(Task!$A$5:$A$404,$A31,Task!$C$5:$C$404,K$3,Task!$K$5:$K$404,"Không áp dụng"))=0,"–",IF(COUNTIFS(Task!$A$5:$A$404,$A31,Task!$C$5:$C$404,K$3,Task!$K$5:$K$404,"Hoàn thành")=(COUNTIFS(Task!$A$5:$A$404,$A31,Task!$C$5:$C$404,K$3)-COUNTIFS(Task!$A$5:$A$404,$A31,Task!$C$5:$C$404,K$3,Task!$K$5:$K$404,"Không áp dụng")),"Xong",IF(COUNTIFS(Task!$A$5:$A$404,$A31,Task!$C$5:$C$404,K$3,Task!$K$5:$K$404,"Bị chặn")&gt;0,"Bị chặn",IF(COUNTIFS(Task!$A$5:$A$404,$A31,Task!$C$5:$C$404,K$3,Task!$K$5:$K$404,"Hoàn thành")+COUNTIFS(Task!$A$5:$A$404,$A31,Task!$C$5:$C$404,K$3,Task!$K$5:$K$404,"Đang làm")&gt;0,"Đang làm","Chưa")))))</f>
        <v/>
      </c>
      <c r="L31" s="14" t="str">
        <f aca="false">IF($A31="","",IF((COUNTIFS(Task!$A$5:$A$404,$A31,Task!$C$5:$C$404,L$3)-COUNTIFS(Task!$A$5:$A$404,$A31,Task!$C$5:$C$404,L$3,Task!$K$5:$K$404,"Không áp dụng"))=0,"–",IF(COUNTIFS(Task!$A$5:$A$404,$A31,Task!$C$5:$C$404,L$3,Task!$K$5:$K$404,"Hoàn thành")=(COUNTIFS(Task!$A$5:$A$404,$A31,Task!$C$5:$C$404,L$3)-COUNTIFS(Task!$A$5:$A$404,$A31,Task!$C$5:$C$404,L$3,Task!$K$5:$K$404,"Không áp dụng")),"Xong",IF(COUNTIFS(Task!$A$5:$A$404,$A31,Task!$C$5:$C$404,L$3,Task!$K$5:$K$404,"Bị chặn")&gt;0,"Bị chặn",IF(COUNTIFS(Task!$A$5:$A$404,$A31,Task!$C$5:$C$404,L$3,Task!$K$5:$K$404,"Hoàn thành")+COUNTIFS(Task!$A$5:$A$404,$A31,Task!$C$5:$C$404,L$3,Task!$K$5:$K$404,"Đang làm")&gt;0,"Đang làm","Chưa")))))</f>
        <v/>
      </c>
      <c r="M31" s="14" t="str">
        <f aca="false">IF($A31="","",IF((COUNTIFS(Task!$A$5:$A$404,$A31,Task!$C$5:$C$404,M$3)-COUNTIFS(Task!$A$5:$A$404,$A31,Task!$C$5:$C$404,M$3,Task!$K$5:$K$404,"Không áp dụng"))=0,"–",IF(COUNTIFS(Task!$A$5:$A$404,$A31,Task!$C$5:$C$404,M$3,Task!$K$5:$K$404,"Hoàn thành")=(COUNTIFS(Task!$A$5:$A$404,$A31,Task!$C$5:$C$404,M$3)-COUNTIFS(Task!$A$5:$A$404,$A31,Task!$C$5:$C$404,M$3,Task!$K$5:$K$404,"Không áp dụng")),"Xong",IF(COUNTIFS(Task!$A$5:$A$404,$A31,Task!$C$5:$C$404,M$3,Task!$K$5:$K$404,"Bị chặn")&gt;0,"Bị chặn",IF(COUNTIFS(Task!$A$5:$A$404,$A31,Task!$C$5:$C$404,M$3,Task!$K$5:$K$404,"Hoàn thành")+COUNTIFS(Task!$A$5:$A$404,$A31,Task!$C$5:$C$404,M$3,Task!$K$5:$K$404,"Đang làm")&gt;0,"Đang làm","Chưa")))))</f>
        <v/>
      </c>
      <c r="N31" s="14" t="str">
        <f aca="false">IF($A31="","",IF(F31&lt;&gt;"Xong",1,IF(G31&lt;&gt;"Xong",2,IF(H31&lt;&gt;"Xong",3,IF(I31&lt;&gt;"Xong",4,IF(J31&lt;&gt;"Xong",5,IF(K31&lt;&gt;"Xong",6,IF(L31&lt;&gt;"Xong",7,IF(M31&lt;&gt;"Xong",8,9)))))))))</f>
        <v/>
      </c>
      <c r="O31" s="14" t="str">
        <f aca="false">IF($A31="","",IF($N31=9,"Hoàn tất",INDEX('Quy trình'!$B$5:$B$12,$N31)))</f>
        <v/>
      </c>
      <c r="P31" s="14" t="str">
        <f aca="false">IF($A31="","",COUNTIFS(Task!$A$5:$A$404,$A31)-COUNTIFS(Task!$A$5:$A$404,$A31,Task!$K$5:$K$404,"Không áp dụng"))</f>
        <v/>
      </c>
      <c r="Q31" s="14" t="str">
        <f aca="false">IF($A31="","",COUNTIFS(Task!$A$5:$A$404,$A31,Task!$K$5:$K$404,"Hoàn thành"))</f>
        <v/>
      </c>
      <c r="R31" s="16" t="str">
        <f aca="false">IF($A31="","",Q31/MAX(P31,COUNTA('Mẫu task'!$A$5:$A$64)))</f>
        <v/>
      </c>
      <c r="S31" s="14" t="str">
        <f aca="false">IF($A31="","",SUMIFS(Task!$O$5:$O$404,Task!$A$5:$A$404,$A31))</f>
        <v/>
      </c>
      <c r="T31" s="14" t="str">
        <f aca="false">IF($A31="","",COUNTIFS(Task!$A$5:$A$404,$A31,Task!$K$5:$K$404,"Bị chặn"))</f>
        <v/>
      </c>
      <c r="U31" s="14" t="str">
        <f aca="false">IF($A31="","",IF(P31=0,"Chưa có task",IF(T31&gt;0,"Bị chặn",IF(S31&gt;0,"Có việc trễ",IF(N31=9,"Hoàn tất","Đúng tiến độ")))))</f>
        <v/>
      </c>
      <c r="V31" s="14" t="str">
        <f aca="false">IF($A31="","",IFERROR(INDEX('Chấm điểm'!$D$16:$M$16,MATCH($A31,'Chấm điểm'!$D$4:$M$4,0)),""))</f>
        <v/>
      </c>
    </row>
    <row r="32" customFormat="false" ht="15" hidden="false" customHeight="false" outlineLevel="0" collapsed="false">
      <c r="A32" s="19"/>
      <c r="B32" s="19"/>
      <c r="C32" s="19"/>
      <c r="D32" s="19"/>
      <c r="E32" s="20"/>
      <c r="F32" s="14" t="str">
        <f aca="false">IF($A32="","",IF((COUNTIFS(Task!$A$5:$A$404,$A32,Task!$C$5:$C$404,F$3)-COUNTIFS(Task!$A$5:$A$404,$A32,Task!$C$5:$C$404,F$3,Task!$K$5:$K$404,"Không áp dụng"))=0,"–",IF(COUNTIFS(Task!$A$5:$A$404,$A32,Task!$C$5:$C$404,F$3,Task!$K$5:$K$404,"Hoàn thành")=(COUNTIFS(Task!$A$5:$A$404,$A32,Task!$C$5:$C$404,F$3)-COUNTIFS(Task!$A$5:$A$404,$A32,Task!$C$5:$C$404,F$3,Task!$K$5:$K$404,"Không áp dụng")),"Xong",IF(COUNTIFS(Task!$A$5:$A$404,$A32,Task!$C$5:$C$404,F$3,Task!$K$5:$K$404,"Bị chặn")&gt;0,"Bị chặn",IF(COUNTIFS(Task!$A$5:$A$404,$A32,Task!$C$5:$C$404,F$3,Task!$K$5:$K$404,"Hoàn thành")+COUNTIFS(Task!$A$5:$A$404,$A32,Task!$C$5:$C$404,F$3,Task!$K$5:$K$404,"Đang làm")&gt;0,"Đang làm","Chưa")))))</f>
        <v/>
      </c>
      <c r="G32" s="14" t="str">
        <f aca="false">IF($A32="","",IF((COUNTIFS(Task!$A$5:$A$404,$A32,Task!$C$5:$C$404,G$3)-COUNTIFS(Task!$A$5:$A$404,$A32,Task!$C$5:$C$404,G$3,Task!$K$5:$K$404,"Không áp dụng"))=0,"–",IF(COUNTIFS(Task!$A$5:$A$404,$A32,Task!$C$5:$C$404,G$3,Task!$K$5:$K$404,"Hoàn thành")=(COUNTIFS(Task!$A$5:$A$404,$A32,Task!$C$5:$C$404,G$3)-COUNTIFS(Task!$A$5:$A$404,$A32,Task!$C$5:$C$404,G$3,Task!$K$5:$K$404,"Không áp dụng")),"Xong",IF(COUNTIFS(Task!$A$5:$A$404,$A32,Task!$C$5:$C$404,G$3,Task!$K$5:$K$404,"Bị chặn")&gt;0,"Bị chặn",IF(COUNTIFS(Task!$A$5:$A$404,$A32,Task!$C$5:$C$404,G$3,Task!$K$5:$K$404,"Hoàn thành")+COUNTIFS(Task!$A$5:$A$404,$A32,Task!$C$5:$C$404,G$3,Task!$K$5:$K$404,"Đang làm")&gt;0,"Đang làm","Chưa")))))</f>
        <v/>
      </c>
      <c r="H32" s="14" t="str">
        <f aca="false">IF($A32="","",IF((COUNTIFS(Task!$A$5:$A$404,$A32,Task!$C$5:$C$404,H$3)-COUNTIFS(Task!$A$5:$A$404,$A32,Task!$C$5:$C$404,H$3,Task!$K$5:$K$404,"Không áp dụng"))=0,"–",IF(COUNTIFS(Task!$A$5:$A$404,$A32,Task!$C$5:$C$404,H$3,Task!$K$5:$K$404,"Hoàn thành")=(COUNTIFS(Task!$A$5:$A$404,$A32,Task!$C$5:$C$404,H$3)-COUNTIFS(Task!$A$5:$A$404,$A32,Task!$C$5:$C$404,H$3,Task!$K$5:$K$404,"Không áp dụng")),"Xong",IF(COUNTIFS(Task!$A$5:$A$404,$A32,Task!$C$5:$C$404,H$3,Task!$K$5:$K$404,"Bị chặn")&gt;0,"Bị chặn",IF(COUNTIFS(Task!$A$5:$A$404,$A32,Task!$C$5:$C$404,H$3,Task!$K$5:$K$404,"Hoàn thành")+COUNTIFS(Task!$A$5:$A$404,$A32,Task!$C$5:$C$404,H$3,Task!$K$5:$K$404,"Đang làm")&gt;0,"Đang làm","Chưa")))))</f>
        <v/>
      </c>
      <c r="I32" s="14" t="str">
        <f aca="false">IF($A32="","",IF((COUNTIFS(Task!$A$5:$A$404,$A32,Task!$C$5:$C$404,I$3)-COUNTIFS(Task!$A$5:$A$404,$A32,Task!$C$5:$C$404,I$3,Task!$K$5:$K$404,"Không áp dụng"))=0,"–",IF(COUNTIFS(Task!$A$5:$A$404,$A32,Task!$C$5:$C$404,I$3,Task!$K$5:$K$404,"Hoàn thành")=(COUNTIFS(Task!$A$5:$A$404,$A32,Task!$C$5:$C$404,I$3)-COUNTIFS(Task!$A$5:$A$404,$A32,Task!$C$5:$C$404,I$3,Task!$K$5:$K$404,"Không áp dụng")),"Xong",IF(COUNTIFS(Task!$A$5:$A$404,$A32,Task!$C$5:$C$404,I$3,Task!$K$5:$K$404,"Bị chặn")&gt;0,"Bị chặn",IF(COUNTIFS(Task!$A$5:$A$404,$A32,Task!$C$5:$C$404,I$3,Task!$K$5:$K$404,"Hoàn thành")+COUNTIFS(Task!$A$5:$A$404,$A32,Task!$C$5:$C$404,I$3,Task!$K$5:$K$404,"Đang làm")&gt;0,"Đang làm","Chưa")))))</f>
        <v/>
      </c>
      <c r="J32" s="14" t="str">
        <f aca="false">IF($A32="","",IF((COUNTIFS(Task!$A$5:$A$404,$A32,Task!$C$5:$C$404,J$3)-COUNTIFS(Task!$A$5:$A$404,$A32,Task!$C$5:$C$404,J$3,Task!$K$5:$K$404,"Không áp dụng"))=0,"–",IF(COUNTIFS(Task!$A$5:$A$404,$A32,Task!$C$5:$C$404,J$3,Task!$K$5:$K$404,"Hoàn thành")=(COUNTIFS(Task!$A$5:$A$404,$A32,Task!$C$5:$C$404,J$3)-COUNTIFS(Task!$A$5:$A$404,$A32,Task!$C$5:$C$404,J$3,Task!$K$5:$K$404,"Không áp dụng")),"Xong",IF(COUNTIFS(Task!$A$5:$A$404,$A32,Task!$C$5:$C$404,J$3,Task!$K$5:$K$404,"Bị chặn")&gt;0,"Bị chặn",IF(COUNTIFS(Task!$A$5:$A$404,$A32,Task!$C$5:$C$404,J$3,Task!$K$5:$K$404,"Hoàn thành")+COUNTIFS(Task!$A$5:$A$404,$A32,Task!$C$5:$C$404,J$3,Task!$K$5:$K$404,"Đang làm")&gt;0,"Đang làm","Chưa")))))</f>
        <v/>
      </c>
      <c r="K32" s="14" t="str">
        <f aca="false">IF($A32="","",IF((COUNTIFS(Task!$A$5:$A$404,$A32,Task!$C$5:$C$404,K$3)-COUNTIFS(Task!$A$5:$A$404,$A32,Task!$C$5:$C$404,K$3,Task!$K$5:$K$404,"Không áp dụng"))=0,"–",IF(COUNTIFS(Task!$A$5:$A$404,$A32,Task!$C$5:$C$404,K$3,Task!$K$5:$K$404,"Hoàn thành")=(COUNTIFS(Task!$A$5:$A$404,$A32,Task!$C$5:$C$404,K$3)-COUNTIFS(Task!$A$5:$A$404,$A32,Task!$C$5:$C$404,K$3,Task!$K$5:$K$404,"Không áp dụng")),"Xong",IF(COUNTIFS(Task!$A$5:$A$404,$A32,Task!$C$5:$C$404,K$3,Task!$K$5:$K$404,"Bị chặn")&gt;0,"Bị chặn",IF(COUNTIFS(Task!$A$5:$A$404,$A32,Task!$C$5:$C$404,K$3,Task!$K$5:$K$404,"Hoàn thành")+COUNTIFS(Task!$A$5:$A$404,$A32,Task!$C$5:$C$404,K$3,Task!$K$5:$K$404,"Đang làm")&gt;0,"Đang làm","Chưa")))))</f>
        <v/>
      </c>
      <c r="L32" s="14" t="str">
        <f aca="false">IF($A32="","",IF((COUNTIFS(Task!$A$5:$A$404,$A32,Task!$C$5:$C$404,L$3)-COUNTIFS(Task!$A$5:$A$404,$A32,Task!$C$5:$C$404,L$3,Task!$K$5:$K$404,"Không áp dụng"))=0,"–",IF(COUNTIFS(Task!$A$5:$A$404,$A32,Task!$C$5:$C$404,L$3,Task!$K$5:$K$404,"Hoàn thành")=(COUNTIFS(Task!$A$5:$A$404,$A32,Task!$C$5:$C$404,L$3)-COUNTIFS(Task!$A$5:$A$404,$A32,Task!$C$5:$C$404,L$3,Task!$K$5:$K$404,"Không áp dụng")),"Xong",IF(COUNTIFS(Task!$A$5:$A$404,$A32,Task!$C$5:$C$404,L$3,Task!$K$5:$K$404,"Bị chặn")&gt;0,"Bị chặn",IF(COUNTIFS(Task!$A$5:$A$404,$A32,Task!$C$5:$C$404,L$3,Task!$K$5:$K$404,"Hoàn thành")+COUNTIFS(Task!$A$5:$A$404,$A32,Task!$C$5:$C$404,L$3,Task!$K$5:$K$404,"Đang làm")&gt;0,"Đang làm","Chưa")))))</f>
        <v/>
      </c>
      <c r="M32" s="14" t="str">
        <f aca="false">IF($A32="","",IF((COUNTIFS(Task!$A$5:$A$404,$A32,Task!$C$5:$C$404,M$3)-COUNTIFS(Task!$A$5:$A$404,$A32,Task!$C$5:$C$404,M$3,Task!$K$5:$K$404,"Không áp dụng"))=0,"–",IF(COUNTIFS(Task!$A$5:$A$404,$A32,Task!$C$5:$C$404,M$3,Task!$K$5:$K$404,"Hoàn thành")=(COUNTIFS(Task!$A$5:$A$404,$A32,Task!$C$5:$C$404,M$3)-COUNTIFS(Task!$A$5:$A$404,$A32,Task!$C$5:$C$404,M$3,Task!$K$5:$K$404,"Không áp dụng")),"Xong",IF(COUNTIFS(Task!$A$5:$A$404,$A32,Task!$C$5:$C$404,M$3,Task!$K$5:$K$404,"Bị chặn")&gt;0,"Bị chặn",IF(COUNTIFS(Task!$A$5:$A$404,$A32,Task!$C$5:$C$404,M$3,Task!$K$5:$K$404,"Hoàn thành")+COUNTIFS(Task!$A$5:$A$404,$A32,Task!$C$5:$C$404,M$3,Task!$K$5:$K$404,"Đang làm")&gt;0,"Đang làm","Chưa")))))</f>
        <v/>
      </c>
      <c r="N32" s="14" t="str">
        <f aca="false">IF($A32="","",IF(F32&lt;&gt;"Xong",1,IF(G32&lt;&gt;"Xong",2,IF(H32&lt;&gt;"Xong",3,IF(I32&lt;&gt;"Xong",4,IF(J32&lt;&gt;"Xong",5,IF(K32&lt;&gt;"Xong",6,IF(L32&lt;&gt;"Xong",7,IF(M32&lt;&gt;"Xong",8,9)))))))))</f>
        <v/>
      </c>
      <c r="O32" s="14" t="str">
        <f aca="false">IF($A32="","",IF($N32=9,"Hoàn tất",INDEX('Quy trình'!$B$5:$B$12,$N32)))</f>
        <v/>
      </c>
      <c r="P32" s="14" t="str">
        <f aca="false">IF($A32="","",COUNTIFS(Task!$A$5:$A$404,$A32)-COUNTIFS(Task!$A$5:$A$404,$A32,Task!$K$5:$K$404,"Không áp dụng"))</f>
        <v/>
      </c>
      <c r="Q32" s="14" t="str">
        <f aca="false">IF($A32="","",COUNTIFS(Task!$A$5:$A$404,$A32,Task!$K$5:$K$404,"Hoàn thành"))</f>
        <v/>
      </c>
      <c r="R32" s="16" t="str">
        <f aca="false">IF($A32="","",Q32/MAX(P32,COUNTA('Mẫu task'!$A$5:$A$64)))</f>
        <v/>
      </c>
      <c r="S32" s="14" t="str">
        <f aca="false">IF($A32="","",SUMIFS(Task!$O$5:$O$404,Task!$A$5:$A$404,$A32))</f>
        <v/>
      </c>
      <c r="T32" s="14" t="str">
        <f aca="false">IF($A32="","",COUNTIFS(Task!$A$5:$A$404,$A32,Task!$K$5:$K$404,"Bị chặn"))</f>
        <v/>
      </c>
      <c r="U32" s="14" t="str">
        <f aca="false">IF($A32="","",IF(P32=0,"Chưa có task",IF(T32&gt;0,"Bị chặn",IF(S32&gt;0,"Có việc trễ",IF(N32=9,"Hoàn tất","Đúng tiến độ")))))</f>
        <v/>
      </c>
      <c r="V32" s="14" t="str">
        <f aca="false">IF($A32="","",IFERROR(INDEX('Chấm điểm'!$D$16:$M$16,MATCH($A32,'Chấm điểm'!$D$4:$M$4,0)),""))</f>
        <v/>
      </c>
    </row>
    <row r="33" customFormat="false" ht="15" hidden="false" customHeight="false" outlineLevel="0" collapsed="false">
      <c r="A33" s="19"/>
      <c r="B33" s="19"/>
      <c r="C33" s="19"/>
      <c r="D33" s="19"/>
      <c r="E33" s="20"/>
      <c r="F33" s="14" t="str">
        <f aca="false">IF($A33="","",IF((COUNTIFS(Task!$A$5:$A$404,$A33,Task!$C$5:$C$404,F$3)-COUNTIFS(Task!$A$5:$A$404,$A33,Task!$C$5:$C$404,F$3,Task!$K$5:$K$404,"Không áp dụng"))=0,"–",IF(COUNTIFS(Task!$A$5:$A$404,$A33,Task!$C$5:$C$404,F$3,Task!$K$5:$K$404,"Hoàn thành")=(COUNTIFS(Task!$A$5:$A$404,$A33,Task!$C$5:$C$404,F$3)-COUNTIFS(Task!$A$5:$A$404,$A33,Task!$C$5:$C$404,F$3,Task!$K$5:$K$404,"Không áp dụng")),"Xong",IF(COUNTIFS(Task!$A$5:$A$404,$A33,Task!$C$5:$C$404,F$3,Task!$K$5:$K$404,"Bị chặn")&gt;0,"Bị chặn",IF(COUNTIFS(Task!$A$5:$A$404,$A33,Task!$C$5:$C$404,F$3,Task!$K$5:$K$404,"Hoàn thành")+COUNTIFS(Task!$A$5:$A$404,$A33,Task!$C$5:$C$404,F$3,Task!$K$5:$K$404,"Đang làm")&gt;0,"Đang làm","Chưa")))))</f>
        <v/>
      </c>
      <c r="G33" s="14" t="str">
        <f aca="false">IF($A33="","",IF((COUNTIFS(Task!$A$5:$A$404,$A33,Task!$C$5:$C$404,G$3)-COUNTIFS(Task!$A$5:$A$404,$A33,Task!$C$5:$C$404,G$3,Task!$K$5:$K$404,"Không áp dụng"))=0,"–",IF(COUNTIFS(Task!$A$5:$A$404,$A33,Task!$C$5:$C$404,G$3,Task!$K$5:$K$404,"Hoàn thành")=(COUNTIFS(Task!$A$5:$A$404,$A33,Task!$C$5:$C$404,G$3)-COUNTIFS(Task!$A$5:$A$404,$A33,Task!$C$5:$C$404,G$3,Task!$K$5:$K$404,"Không áp dụng")),"Xong",IF(COUNTIFS(Task!$A$5:$A$404,$A33,Task!$C$5:$C$404,G$3,Task!$K$5:$K$404,"Bị chặn")&gt;0,"Bị chặn",IF(COUNTIFS(Task!$A$5:$A$404,$A33,Task!$C$5:$C$404,G$3,Task!$K$5:$K$404,"Hoàn thành")+COUNTIFS(Task!$A$5:$A$404,$A33,Task!$C$5:$C$404,G$3,Task!$K$5:$K$404,"Đang làm")&gt;0,"Đang làm","Chưa")))))</f>
        <v/>
      </c>
      <c r="H33" s="14" t="str">
        <f aca="false">IF($A33="","",IF((COUNTIFS(Task!$A$5:$A$404,$A33,Task!$C$5:$C$404,H$3)-COUNTIFS(Task!$A$5:$A$404,$A33,Task!$C$5:$C$404,H$3,Task!$K$5:$K$404,"Không áp dụng"))=0,"–",IF(COUNTIFS(Task!$A$5:$A$404,$A33,Task!$C$5:$C$404,H$3,Task!$K$5:$K$404,"Hoàn thành")=(COUNTIFS(Task!$A$5:$A$404,$A33,Task!$C$5:$C$404,H$3)-COUNTIFS(Task!$A$5:$A$404,$A33,Task!$C$5:$C$404,H$3,Task!$K$5:$K$404,"Không áp dụng")),"Xong",IF(COUNTIFS(Task!$A$5:$A$404,$A33,Task!$C$5:$C$404,H$3,Task!$K$5:$K$404,"Bị chặn")&gt;0,"Bị chặn",IF(COUNTIFS(Task!$A$5:$A$404,$A33,Task!$C$5:$C$404,H$3,Task!$K$5:$K$404,"Hoàn thành")+COUNTIFS(Task!$A$5:$A$404,$A33,Task!$C$5:$C$404,H$3,Task!$K$5:$K$404,"Đang làm")&gt;0,"Đang làm","Chưa")))))</f>
        <v/>
      </c>
      <c r="I33" s="14" t="str">
        <f aca="false">IF($A33="","",IF((COUNTIFS(Task!$A$5:$A$404,$A33,Task!$C$5:$C$404,I$3)-COUNTIFS(Task!$A$5:$A$404,$A33,Task!$C$5:$C$404,I$3,Task!$K$5:$K$404,"Không áp dụng"))=0,"–",IF(COUNTIFS(Task!$A$5:$A$404,$A33,Task!$C$5:$C$404,I$3,Task!$K$5:$K$404,"Hoàn thành")=(COUNTIFS(Task!$A$5:$A$404,$A33,Task!$C$5:$C$404,I$3)-COUNTIFS(Task!$A$5:$A$404,$A33,Task!$C$5:$C$404,I$3,Task!$K$5:$K$404,"Không áp dụng")),"Xong",IF(COUNTIFS(Task!$A$5:$A$404,$A33,Task!$C$5:$C$404,I$3,Task!$K$5:$K$404,"Bị chặn")&gt;0,"Bị chặn",IF(COUNTIFS(Task!$A$5:$A$404,$A33,Task!$C$5:$C$404,I$3,Task!$K$5:$K$404,"Hoàn thành")+COUNTIFS(Task!$A$5:$A$404,$A33,Task!$C$5:$C$404,I$3,Task!$K$5:$K$404,"Đang làm")&gt;0,"Đang làm","Chưa")))))</f>
        <v/>
      </c>
      <c r="J33" s="14" t="str">
        <f aca="false">IF($A33="","",IF((COUNTIFS(Task!$A$5:$A$404,$A33,Task!$C$5:$C$404,J$3)-COUNTIFS(Task!$A$5:$A$404,$A33,Task!$C$5:$C$404,J$3,Task!$K$5:$K$404,"Không áp dụng"))=0,"–",IF(COUNTIFS(Task!$A$5:$A$404,$A33,Task!$C$5:$C$404,J$3,Task!$K$5:$K$404,"Hoàn thành")=(COUNTIFS(Task!$A$5:$A$404,$A33,Task!$C$5:$C$404,J$3)-COUNTIFS(Task!$A$5:$A$404,$A33,Task!$C$5:$C$404,J$3,Task!$K$5:$K$404,"Không áp dụng")),"Xong",IF(COUNTIFS(Task!$A$5:$A$404,$A33,Task!$C$5:$C$404,J$3,Task!$K$5:$K$404,"Bị chặn")&gt;0,"Bị chặn",IF(COUNTIFS(Task!$A$5:$A$404,$A33,Task!$C$5:$C$404,J$3,Task!$K$5:$K$404,"Hoàn thành")+COUNTIFS(Task!$A$5:$A$404,$A33,Task!$C$5:$C$404,J$3,Task!$K$5:$K$404,"Đang làm")&gt;0,"Đang làm","Chưa")))))</f>
        <v/>
      </c>
      <c r="K33" s="14" t="str">
        <f aca="false">IF($A33="","",IF((COUNTIFS(Task!$A$5:$A$404,$A33,Task!$C$5:$C$404,K$3)-COUNTIFS(Task!$A$5:$A$404,$A33,Task!$C$5:$C$404,K$3,Task!$K$5:$K$404,"Không áp dụng"))=0,"–",IF(COUNTIFS(Task!$A$5:$A$404,$A33,Task!$C$5:$C$404,K$3,Task!$K$5:$K$404,"Hoàn thành")=(COUNTIFS(Task!$A$5:$A$404,$A33,Task!$C$5:$C$404,K$3)-COUNTIFS(Task!$A$5:$A$404,$A33,Task!$C$5:$C$404,K$3,Task!$K$5:$K$404,"Không áp dụng")),"Xong",IF(COUNTIFS(Task!$A$5:$A$404,$A33,Task!$C$5:$C$404,K$3,Task!$K$5:$K$404,"Bị chặn")&gt;0,"Bị chặn",IF(COUNTIFS(Task!$A$5:$A$404,$A33,Task!$C$5:$C$404,K$3,Task!$K$5:$K$404,"Hoàn thành")+COUNTIFS(Task!$A$5:$A$404,$A33,Task!$C$5:$C$404,K$3,Task!$K$5:$K$404,"Đang làm")&gt;0,"Đang làm","Chưa")))))</f>
        <v/>
      </c>
      <c r="L33" s="14" t="str">
        <f aca="false">IF($A33="","",IF((COUNTIFS(Task!$A$5:$A$404,$A33,Task!$C$5:$C$404,L$3)-COUNTIFS(Task!$A$5:$A$404,$A33,Task!$C$5:$C$404,L$3,Task!$K$5:$K$404,"Không áp dụng"))=0,"–",IF(COUNTIFS(Task!$A$5:$A$404,$A33,Task!$C$5:$C$404,L$3,Task!$K$5:$K$404,"Hoàn thành")=(COUNTIFS(Task!$A$5:$A$404,$A33,Task!$C$5:$C$404,L$3)-COUNTIFS(Task!$A$5:$A$404,$A33,Task!$C$5:$C$404,L$3,Task!$K$5:$K$404,"Không áp dụng")),"Xong",IF(COUNTIFS(Task!$A$5:$A$404,$A33,Task!$C$5:$C$404,L$3,Task!$K$5:$K$404,"Bị chặn")&gt;0,"Bị chặn",IF(COUNTIFS(Task!$A$5:$A$404,$A33,Task!$C$5:$C$404,L$3,Task!$K$5:$K$404,"Hoàn thành")+COUNTIFS(Task!$A$5:$A$404,$A33,Task!$C$5:$C$404,L$3,Task!$K$5:$K$404,"Đang làm")&gt;0,"Đang làm","Chưa")))))</f>
        <v/>
      </c>
      <c r="M33" s="14" t="str">
        <f aca="false">IF($A33="","",IF((COUNTIFS(Task!$A$5:$A$404,$A33,Task!$C$5:$C$404,M$3)-COUNTIFS(Task!$A$5:$A$404,$A33,Task!$C$5:$C$404,M$3,Task!$K$5:$K$404,"Không áp dụng"))=0,"–",IF(COUNTIFS(Task!$A$5:$A$404,$A33,Task!$C$5:$C$404,M$3,Task!$K$5:$K$404,"Hoàn thành")=(COUNTIFS(Task!$A$5:$A$404,$A33,Task!$C$5:$C$404,M$3)-COUNTIFS(Task!$A$5:$A$404,$A33,Task!$C$5:$C$404,M$3,Task!$K$5:$K$404,"Không áp dụng")),"Xong",IF(COUNTIFS(Task!$A$5:$A$404,$A33,Task!$C$5:$C$404,M$3,Task!$K$5:$K$404,"Bị chặn")&gt;0,"Bị chặn",IF(COUNTIFS(Task!$A$5:$A$404,$A33,Task!$C$5:$C$404,M$3,Task!$K$5:$K$404,"Hoàn thành")+COUNTIFS(Task!$A$5:$A$404,$A33,Task!$C$5:$C$404,M$3,Task!$K$5:$K$404,"Đang làm")&gt;0,"Đang làm","Chưa")))))</f>
        <v/>
      </c>
      <c r="N33" s="14" t="str">
        <f aca="false">IF($A33="","",IF(F33&lt;&gt;"Xong",1,IF(G33&lt;&gt;"Xong",2,IF(H33&lt;&gt;"Xong",3,IF(I33&lt;&gt;"Xong",4,IF(J33&lt;&gt;"Xong",5,IF(K33&lt;&gt;"Xong",6,IF(L33&lt;&gt;"Xong",7,IF(M33&lt;&gt;"Xong",8,9)))))))))</f>
        <v/>
      </c>
      <c r="O33" s="14" t="str">
        <f aca="false">IF($A33="","",IF($N33=9,"Hoàn tất",INDEX('Quy trình'!$B$5:$B$12,$N33)))</f>
        <v/>
      </c>
      <c r="P33" s="14" t="str">
        <f aca="false">IF($A33="","",COUNTIFS(Task!$A$5:$A$404,$A33)-COUNTIFS(Task!$A$5:$A$404,$A33,Task!$K$5:$K$404,"Không áp dụng"))</f>
        <v/>
      </c>
      <c r="Q33" s="14" t="str">
        <f aca="false">IF($A33="","",COUNTIFS(Task!$A$5:$A$404,$A33,Task!$K$5:$K$404,"Hoàn thành"))</f>
        <v/>
      </c>
      <c r="R33" s="16" t="str">
        <f aca="false">IF($A33="","",Q33/MAX(P33,COUNTA('Mẫu task'!$A$5:$A$64)))</f>
        <v/>
      </c>
      <c r="S33" s="14" t="str">
        <f aca="false">IF($A33="","",SUMIFS(Task!$O$5:$O$404,Task!$A$5:$A$404,$A33))</f>
        <v/>
      </c>
      <c r="T33" s="14" t="str">
        <f aca="false">IF($A33="","",COUNTIFS(Task!$A$5:$A$404,$A33,Task!$K$5:$K$404,"Bị chặn"))</f>
        <v/>
      </c>
      <c r="U33" s="14" t="str">
        <f aca="false">IF($A33="","",IF(P33=0,"Chưa có task",IF(T33&gt;0,"Bị chặn",IF(S33&gt;0,"Có việc trễ",IF(N33=9,"Hoàn tất","Đúng tiến độ")))))</f>
        <v/>
      </c>
      <c r="V33" s="14" t="str">
        <f aca="false">IF($A33="","",IFERROR(INDEX('Chấm điểm'!$D$16:$M$16,MATCH($A33,'Chấm điểm'!$D$4:$M$4,0)),""))</f>
        <v/>
      </c>
    </row>
    <row r="34" customFormat="false" ht="15" hidden="false" customHeight="false" outlineLevel="0" collapsed="false">
      <c r="A34" s="19"/>
      <c r="B34" s="19"/>
      <c r="C34" s="19"/>
      <c r="D34" s="19"/>
      <c r="E34" s="20"/>
      <c r="F34" s="14" t="str">
        <f aca="false">IF($A34="","",IF((COUNTIFS(Task!$A$5:$A$404,$A34,Task!$C$5:$C$404,F$3)-COUNTIFS(Task!$A$5:$A$404,$A34,Task!$C$5:$C$404,F$3,Task!$K$5:$K$404,"Không áp dụng"))=0,"–",IF(COUNTIFS(Task!$A$5:$A$404,$A34,Task!$C$5:$C$404,F$3,Task!$K$5:$K$404,"Hoàn thành")=(COUNTIFS(Task!$A$5:$A$404,$A34,Task!$C$5:$C$404,F$3)-COUNTIFS(Task!$A$5:$A$404,$A34,Task!$C$5:$C$404,F$3,Task!$K$5:$K$404,"Không áp dụng")),"Xong",IF(COUNTIFS(Task!$A$5:$A$404,$A34,Task!$C$5:$C$404,F$3,Task!$K$5:$K$404,"Bị chặn")&gt;0,"Bị chặn",IF(COUNTIFS(Task!$A$5:$A$404,$A34,Task!$C$5:$C$404,F$3,Task!$K$5:$K$404,"Hoàn thành")+COUNTIFS(Task!$A$5:$A$404,$A34,Task!$C$5:$C$404,F$3,Task!$K$5:$K$404,"Đang làm")&gt;0,"Đang làm","Chưa")))))</f>
        <v/>
      </c>
      <c r="G34" s="14" t="str">
        <f aca="false">IF($A34="","",IF((COUNTIFS(Task!$A$5:$A$404,$A34,Task!$C$5:$C$404,G$3)-COUNTIFS(Task!$A$5:$A$404,$A34,Task!$C$5:$C$404,G$3,Task!$K$5:$K$404,"Không áp dụng"))=0,"–",IF(COUNTIFS(Task!$A$5:$A$404,$A34,Task!$C$5:$C$404,G$3,Task!$K$5:$K$404,"Hoàn thành")=(COUNTIFS(Task!$A$5:$A$404,$A34,Task!$C$5:$C$404,G$3)-COUNTIFS(Task!$A$5:$A$404,$A34,Task!$C$5:$C$404,G$3,Task!$K$5:$K$404,"Không áp dụng")),"Xong",IF(COUNTIFS(Task!$A$5:$A$404,$A34,Task!$C$5:$C$404,G$3,Task!$K$5:$K$404,"Bị chặn")&gt;0,"Bị chặn",IF(COUNTIFS(Task!$A$5:$A$404,$A34,Task!$C$5:$C$404,G$3,Task!$K$5:$K$404,"Hoàn thành")+COUNTIFS(Task!$A$5:$A$404,$A34,Task!$C$5:$C$404,G$3,Task!$K$5:$K$404,"Đang làm")&gt;0,"Đang làm","Chưa")))))</f>
        <v/>
      </c>
      <c r="H34" s="14" t="str">
        <f aca="false">IF($A34="","",IF((COUNTIFS(Task!$A$5:$A$404,$A34,Task!$C$5:$C$404,H$3)-COUNTIFS(Task!$A$5:$A$404,$A34,Task!$C$5:$C$404,H$3,Task!$K$5:$K$404,"Không áp dụng"))=0,"–",IF(COUNTIFS(Task!$A$5:$A$404,$A34,Task!$C$5:$C$404,H$3,Task!$K$5:$K$404,"Hoàn thành")=(COUNTIFS(Task!$A$5:$A$404,$A34,Task!$C$5:$C$404,H$3)-COUNTIFS(Task!$A$5:$A$404,$A34,Task!$C$5:$C$404,H$3,Task!$K$5:$K$404,"Không áp dụng")),"Xong",IF(COUNTIFS(Task!$A$5:$A$404,$A34,Task!$C$5:$C$404,H$3,Task!$K$5:$K$404,"Bị chặn")&gt;0,"Bị chặn",IF(COUNTIFS(Task!$A$5:$A$404,$A34,Task!$C$5:$C$404,H$3,Task!$K$5:$K$404,"Hoàn thành")+COUNTIFS(Task!$A$5:$A$404,$A34,Task!$C$5:$C$404,H$3,Task!$K$5:$K$404,"Đang làm")&gt;0,"Đang làm","Chưa")))))</f>
        <v/>
      </c>
      <c r="I34" s="14" t="str">
        <f aca="false">IF($A34="","",IF((COUNTIFS(Task!$A$5:$A$404,$A34,Task!$C$5:$C$404,I$3)-COUNTIFS(Task!$A$5:$A$404,$A34,Task!$C$5:$C$404,I$3,Task!$K$5:$K$404,"Không áp dụng"))=0,"–",IF(COUNTIFS(Task!$A$5:$A$404,$A34,Task!$C$5:$C$404,I$3,Task!$K$5:$K$404,"Hoàn thành")=(COUNTIFS(Task!$A$5:$A$404,$A34,Task!$C$5:$C$404,I$3)-COUNTIFS(Task!$A$5:$A$404,$A34,Task!$C$5:$C$404,I$3,Task!$K$5:$K$404,"Không áp dụng")),"Xong",IF(COUNTIFS(Task!$A$5:$A$404,$A34,Task!$C$5:$C$404,I$3,Task!$K$5:$K$404,"Bị chặn")&gt;0,"Bị chặn",IF(COUNTIFS(Task!$A$5:$A$404,$A34,Task!$C$5:$C$404,I$3,Task!$K$5:$K$404,"Hoàn thành")+COUNTIFS(Task!$A$5:$A$404,$A34,Task!$C$5:$C$404,I$3,Task!$K$5:$K$404,"Đang làm")&gt;0,"Đang làm","Chưa")))))</f>
        <v/>
      </c>
      <c r="J34" s="14" t="str">
        <f aca="false">IF($A34="","",IF((COUNTIFS(Task!$A$5:$A$404,$A34,Task!$C$5:$C$404,J$3)-COUNTIFS(Task!$A$5:$A$404,$A34,Task!$C$5:$C$404,J$3,Task!$K$5:$K$404,"Không áp dụng"))=0,"–",IF(COUNTIFS(Task!$A$5:$A$404,$A34,Task!$C$5:$C$404,J$3,Task!$K$5:$K$404,"Hoàn thành")=(COUNTIFS(Task!$A$5:$A$404,$A34,Task!$C$5:$C$404,J$3)-COUNTIFS(Task!$A$5:$A$404,$A34,Task!$C$5:$C$404,J$3,Task!$K$5:$K$404,"Không áp dụng")),"Xong",IF(COUNTIFS(Task!$A$5:$A$404,$A34,Task!$C$5:$C$404,J$3,Task!$K$5:$K$404,"Bị chặn")&gt;0,"Bị chặn",IF(COUNTIFS(Task!$A$5:$A$404,$A34,Task!$C$5:$C$404,J$3,Task!$K$5:$K$404,"Hoàn thành")+COUNTIFS(Task!$A$5:$A$404,$A34,Task!$C$5:$C$404,J$3,Task!$K$5:$K$404,"Đang làm")&gt;0,"Đang làm","Chưa")))))</f>
        <v/>
      </c>
      <c r="K34" s="14" t="str">
        <f aca="false">IF($A34="","",IF((COUNTIFS(Task!$A$5:$A$404,$A34,Task!$C$5:$C$404,K$3)-COUNTIFS(Task!$A$5:$A$404,$A34,Task!$C$5:$C$404,K$3,Task!$K$5:$K$404,"Không áp dụng"))=0,"–",IF(COUNTIFS(Task!$A$5:$A$404,$A34,Task!$C$5:$C$404,K$3,Task!$K$5:$K$404,"Hoàn thành")=(COUNTIFS(Task!$A$5:$A$404,$A34,Task!$C$5:$C$404,K$3)-COUNTIFS(Task!$A$5:$A$404,$A34,Task!$C$5:$C$404,K$3,Task!$K$5:$K$404,"Không áp dụng")),"Xong",IF(COUNTIFS(Task!$A$5:$A$404,$A34,Task!$C$5:$C$404,K$3,Task!$K$5:$K$404,"Bị chặn")&gt;0,"Bị chặn",IF(COUNTIFS(Task!$A$5:$A$404,$A34,Task!$C$5:$C$404,K$3,Task!$K$5:$K$404,"Hoàn thành")+COUNTIFS(Task!$A$5:$A$404,$A34,Task!$C$5:$C$404,K$3,Task!$K$5:$K$404,"Đang làm")&gt;0,"Đang làm","Chưa")))))</f>
        <v/>
      </c>
      <c r="L34" s="14" t="str">
        <f aca="false">IF($A34="","",IF((COUNTIFS(Task!$A$5:$A$404,$A34,Task!$C$5:$C$404,L$3)-COUNTIFS(Task!$A$5:$A$404,$A34,Task!$C$5:$C$404,L$3,Task!$K$5:$K$404,"Không áp dụng"))=0,"–",IF(COUNTIFS(Task!$A$5:$A$404,$A34,Task!$C$5:$C$404,L$3,Task!$K$5:$K$404,"Hoàn thành")=(COUNTIFS(Task!$A$5:$A$404,$A34,Task!$C$5:$C$404,L$3)-COUNTIFS(Task!$A$5:$A$404,$A34,Task!$C$5:$C$404,L$3,Task!$K$5:$K$404,"Không áp dụng")),"Xong",IF(COUNTIFS(Task!$A$5:$A$404,$A34,Task!$C$5:$C$404,L$3,Task!$K$5:$K$404,"Bị chặn")&gt;0,"Bị chặn",IF(COUNTIFS(Task!$A$5:$A$404,$A34,Task!$C$5:$C$404,L$3,Task!$K$5:$K$404,"Hoàn thành")+COUNTIFS(Task!$A$5:$A$404,$A34,Task!$C$5:$C$404,L$3,Task!$K$5:$K$404,"Đang làm")&gt;0,"Đang làm","Chưa")))))</f>
        <v/>
      </c>
      <c r="M34" s="14" t="str">
        <f aca="false">IF($A34="","",IF((COUNTIFS(Task!$A$5:$A$404,$A34,Task!$C$5:$C$404,M$3)-COUNTIFS(Task!$A$5:$A$404,$A34,Task!$C$5:$C$404,M$3,Task!$K$5:$K$404,"Không áp dụng"))=0,"–",IF(COUNTIFS(Task!$A$5:$A$404,$A34,Task!$C$5:$C$404,M$3,Task!$K$5:$K$404,"Hoàn thành")=(COUNTIFS(Task!$A$5:$A$404,$A34,Task!$C$5:$C$404,M$3)-COUNTIFS(Task!$A$5:$A$404,$A34,Task!$C$5:$C$404,M$3,Task!$K$5:$K$404,"Không áp dụng")),"Xong",IF(COUNTIFS(Task!$A$5:$A$404,$A34,Task!$C$5:$C$404,M$3,Task!$K$5:$K$404,"Bị chặn")&gt;0,"Bị chặn",IF(COUNTIFS(Task!$A$5:$A$404,$A34,Task!$C$5:$C$404,M$3,Task!$K$5:$K$404,"Hoàn thành")+COUNTIFS(Task!$A$5:$A$404,$A34,Task!$C$5:$C$404,M$3,Task!$K$5:$K$404,"Đang làm")&gt;0,"Đang làm","Chưa")))))</f>
        <v/>
      </c>
      <c r="N34" s="14" t="str">
        <f aca="false">IF($A34="","",IF(F34&lt;&gt;"Xong",1,IF(G34&lt;&gt;"Xong",2,IF(H34&lt;&gt;"Xong",3,IF(I34&lt;&gt;"Xong",4,IF(J34&lt;&gt;"Xong",5,IF(K34&lt;&gt;"Xong",6,IF(L34&lt;&gt;"Xong",7,IF(M34&lt;&gt;"Xong",8,9)))))))))</f>
        <v/>
      </c>
      <c r="O34" s="14" t="str">
        <f aca="false">IF($A34="","",IF($N34=9,"Hoàn tất",INDEX('Quy trình'!$B$5:$B$12,$N34)))</f>
        <v/>
      </c>
      <c r="P34" s="14" t="str">
        <f aca="false">IF($A34="","",COUNTIFS(Task!$A$5:$A$404,$A34)-COUNTIFS(Task!$A$5:$A$404,$A34,Task!$K$5:$K$404,"Không áp dụng"))</f>
        <v/>
      </c>
      <c r="Q34" s="14" t="str">
        <f aca="false">IF($A34="","",COUNTIFS(Task!$A$5:$A$404,$A34,Task!$K$5:$K$404,"Hoàn thành"))</f>
        <v/>
      </c>
      <c r="R34" s="16" t="str">
        <f aca="false">IF($A34="","",Q34/MAX(P34,COUNTA('Mẫu task'!$A$5:$A$64)))</f>
        <v/>
      </c>
      <c r="S34" s="14" t="str">
        <f aca="false">IF($A34="","",SUMIFS(Task!$O$5:$O$404,Task!$A$5:$A$404,$A34))</f>
        <v/>
      </c>
      <c r="T34" s="14" t="str">
        <f aca="false">IF($A34="","",COUNTIFS(Task!$A$5:$A$404,$A34,Task!$K$5:$K$404,"Bị chặn"))</f>
        <v/>
      </c>
      <c r="U34" s="14" t="str">
        <f aca="false">IF($A34="","",IF(P34=0,"Chưa có task",IF(T34&gt;0,"Bị chặn",IF(S34&gt;0,"Có việc trễ",IF(N34=9,"Hoàn tất","Đúng tiến độ")))))</f>
        <v/>
      </c>
      <c r="V34" s="14" t="str">
        <f aca="false">IF($A34="","",IFERROR(INDEX('Chấm điểm'!$D$16:$M$16,MATCH($A34,'Chấm điểm'!$D$4:$M$4,0)),""))</f>
        <v/>
      </c>
    </row>
    <row r="35" customFormat="false" ht="15" hidden="false" customHeight="false" outlineLevel="0" collapsed="false">
      <c r="A35" s="19"/>
      <c r="B35" s="19"/>
      <c r="C35" s="19"/>
      <c r="D35" s="19"/>
      <c r="E35" s="20"/>
      <c r="F35" s="14" t="str">
        <f aca="false">IF($A35="","",IF((COUNTIFS(Task!$A$5:$A$404,$A35,Task!$C$5:$C$404,F$3)-COUNTIFS(Task!$A$5:$A$404,$A35,Task!$C$5:$C$404,F$3,Task!$K$5:$K$404,"Không áp dụng"))=0,"–",IF(COUNTIFS(Task!$A$5:$A$404,$A35,Task!$C$5:$C$404,F$3,Task!$K$5:$K$404,"Hoàn thành")=(COUNTIFS(Task!$A$5:$A$404,$A35,Task!$C$5:$C$404,F$3)-COUNTIFS(Task!$A$5:$A$404,$A35,Task!$C$5:$C$404,F$3,Task!$K$5:$K$404,"Không áp dụng")),"Xong",IF(COUNTIFS(Task!$A$5:$A$404,$A35,Task!$C$5:$C$404,F$3,Task!$K$5:$K$404,"Bị chặn")&gt;0,"Bị chặn",IF(COUNTIFS(Task!$A$5:$A$404,$A35,Task!$C$5:$C$404,F$3,Task!$K$5:$K$404,"Hoàn thành")+COUNTIFS(Task!$A$5:$A$404,$A35,Task!$C$5:$C$404,F$3,Task!$K$5:$K$404,"Đang làm")&gt;0,"Đang làm","Chưa")))))</f>
        <v/>
      </c>
      <c r="G35" s="14" t="str">
        <f aca="false">IF($A35="","",IF((COUNTIFS(Task!$A$5:$A$404,$A35,Task!$C$5:$C$404,G$3)-COUNTIFS(Task!$A$5:$A$404,$A35,Task!$C$5:$C$404,G$3,Task!$K$5:$K$404,"Không áp dụng"))=0,"–",IF(COUNTIFS(Task!$A$5:$A$404,$A35,Task!$C$5:$C$404,G$3,Task!$K$5:$K$404,"Hoàn thành")=(COUNTIFS(Task!$A$5:$A$404,$A35,Task!$C$5:$C$404,G$3)-COUNTIFS(Task!$A$5:$A$404,$A35,Task!$C$5:$C$404,G$3,Task!$K$5:$K$404,"Không áp dụng")),"Xong",IF(COUNTIFS(Task!$A$5:$A$404,$A35,Task!$C$5:$C$404,G$3,Task!$K$5:$K$404,"Bị chặn")&gt;0,"Bị chặn",IF(COUNTIFS(Task!$A$5:$A$404,$A35,Task!$C$5:$C$404,G$3,Task!$K$5:$K$404,"Hoàn thành")+COUNTIFS(Task!$A$5:$A$404,$A35,Task!$C$5:$C$404,G$3,Task!$K$5:$K$404,"Đang làm")&gt;0,"Đang làm","Chưa")))))</f>
        <v/>
      </c>
      <c r="H35" s="14" t="str">
        <f aca="false">IF($A35="","",IF((COUNTIFS(Task!$A$5:$A$404,$A35,Task!$C$5:$C$404,H$3)-COUNTIFS(Task!$A$5:$A$404,$A35,Task!$C$5:$C$404,H$3,Task!$K$5:$K$404,"Không áp dụng"))=0,"–",IF(COUNTIFS(Task!$A$5:$A$404,$A35,Task!$C$5:$C$404,H$3,Task!$K$5:$K$404,"Hoàn thành")=(COUNTIFS(Task!$A$5:$A$404,$A35,Task!$C$5:$C$404,H$3)-COUNTIFS(Task!$A$5:$A$404,$A35,Task!$C$5:$C$404,H$3,Task!$K$5:$K$404,"Không áp dụng")),"Xong",IF(COUNTIFS(Task!$A$5:$A$404,$A35,Task!$C$5:$C$404,H$3,Task!$K$5:$K$404,"Bị chặn")&gt;0,"Bị chặn",IF(COUNTIFS(Task!$A$5:$A$404,$A35,Task!$C$5:$C$404,H$3,Task!$K$5:$K$404,"Hoàn thành")+COUNTIFS(Task!$A$5:$A$404,$A35,Task!$C$5:$C$404,H$3,Task!$K$5:$K$404,"Đang làm")&gt;0,"Đang làm","Chưa")))))</f>
        <v/>
      </c>
      <c r="I35" s="14" t="str">
        <f aca="false">IF($A35="","",IF((COUNTIFS(Task!$A$5:$A$404,$A35,Task!$C$5:$C$404,I$3)-COUNTIFS(Task!$A$5:$A$404,$A35,Task!$C$5:$C$404,I$3,Task!$K$5:$K$404,"Không áp dụng"))=0,"–",IF(COUNTIFS(Task!$A$5:$A$404,$A35,Task!$C$5:$C$404,I$3,Task!$K$5:$K$404,"Hoàn thành")=(COUNTIFS(Task!$A$5:$A$404,$A35,Task!$C$5:$C$404,I$3)-COUNTIFS(Task!$A$5:$A$404,$A35,Task!$C$5:$C$404,I$3,Task!$K$5:$K$404,"Không áp dụng")),"Xong",IF(COUNTIFS(Task!$A$5:$A$404,$A35,Task!$C$5:$C$404,I$3,Task!$K$5:$K$404,"Bị chặn")&gt;0,"Bị chặn",IF(COUNTIFS(Task!$A$5:$A$404,$A35,Task!$C$5:$C$404,I$3,Task!$K$5:$K$404,"Hoàn thành")+COUNTIFS(Task!$A$5:$A$404,$A35,Task!$C$5:$C$404,I$3,Task!$K$5:$K$404,"Đang làm")&gt;0,"Đang làm","Chưa")))))</f>
        <v/>
      </c>
      <c r="J35" s="14" t="str">
        <f aca="false">IF($A35="","",IF((COUNTIFS(Task!$A$5:$A$404,$A35,Task!$C$5:$C$404,J$3)-COUNTIFS(Task!$A$5:$A$404,$A35,Task!$C$5:$C$404,J$3,Task!$K$5:$K$404,"Không áp dụng"))=0,"–",IF(COUNTIFS(Task!$A$5:$A$404,$A35,Task!$C$5:$C$404,J$3,Task!$K$5:$K$404,"Hoàn thành")=(COUNTIFS(Task!$A$5:$A$404,$A35,Task!$C$5:$C$404,J$3)-COUNTIFS(Task!$A$5:$A$404,$A35,Task!$C$5:$C$404,J$3,Task!$K$5:$K$404,"Không áp dụng")),"Xong",IF(COUNTIFS(Task!$A$5:$A$404,$A35,Task!$C$5:$C$404,J$3,Task!$K$5:$K$404,"Bị chặn")&gt;0,"Bị chặn",IF(COUNTIFS(Task!$A$5:$A$404,$A35,Task!$C$5:$C$404,J$3,Task!$K$5:$K$404,"Hoàn thành")+COUNTIFS(Task!$A$5:$A$404,$A35,Task!$C$5:$C$404,J$3,Task!$K$5:$K$404,"Đang làm")&gt;0,"Đang làm","Chưa")))))</f>
        <v/>
      </c>
      <c r="K35" s="14" t="str">
        <f aca="false">IF($A35="","",IF((COUNTIFS(Task!$A$5:$A$404,$A35,Task!$C$5:$C$404,K$3)-COUNTIFS(Task!$A$5:$A$404,$A35,Task!$C$5:$C$404,K$3,Task!$K$5:$K$404,"Không áp dụng"))=0,"–",IF(COUNTIFS(Task!$A$5:$A$404,$A35,Task!$C$5:$C$404,K$3,Task!$K$5:$K$404,"Hoàn thành")=(COUNTIFS(Task!$A$5:$A$404,$A35,Task!$C$5:$C$404,K$3)-COUNTIFS(Task!$A$5:$A$404,$A35,Task!$C$5:$C$404,K$3,Task!$K$5:$K$404,"Không áp dụng")),"Xong",IF(COUNTIFS(Task!$A$5:$A$404,$A35,Task!$C$5:$C$404,K$3,Task!$K$5:$K$404,"Bị chặn")&gt;0,"Bị chặn",IF(COUNTIFS(Task!$A$5:$A$404,$A35,Task!$C$5:$C$404,K$3,Task!$K$5:$K$404,"Hoàn thành")+COUNTIFS(Task!$A$5:$A$404,$A35,Task!$C$5:$C$404,K$3,Task!$K$5:$K$404,"Đang làm")&gt;0,"Đang làm","Chưa")))))</f>
        <v/>
      </c>
      <c r="L35" s="14" t="str">
        <f aca="false">IF($A35="","",IF((COUNTIFS(Task!$A$5:$A$404,$A35,Task!$C$5:$C$404,L$3)-COUNTIFS(Task!$A$5:$A$404,$A35,Task!$C$5:$C$404,L$3,Task!$K$5:$K$404,"Không áp dụng"))=0,"–",IF(COUNTIFS(Task!$A$5:$A$404,$A35,Task!$C$5:$C$404,L$3,Task!$K$5:$K$404,"Hoàn thành")=(COUNTIFS(Task!$A$5:$A$404,$A35,Task!$C$5:$C$404,L$3)-COUNTIFS(Task!$A$5:$A$404,$A35,Task!$C$5:$C$404,L$3,Task!$K$5:$K$404,"Không áp dụng")),"Xong",IF(COUNTIFS(Task!$A$5:$A$404,$A35,Task!$C$5:$C$404,L$3,Task!$K$5:$K$404,"Bị chặn")&gt;0,"Bị chặn",IF(COUNTIFS(Task!$A$5:$A$404,$A35,Task!$C$5:$C$404,L$3,Task!$K$5:$K$404,"Hoàn thành")+COUNTIFS(Task!$A$5:$A$404,$A35,Task!$C$5:$C$404,L$3,Task!$K$5:$K$404,"Đang làm")&gt;0,"Đang làm","Chưa")))))</f>
        <v/>
      </c>
      <c r="M35" s="14" t="str">
        <f aca="false">IF($A35="","",IF((COUNTIFS(Task!$A$5:$A$404,$A35,Task!$C$5:$C$404,M$3)-COUNTIFS(Task!$A$5:$A$404,$A35,Task!$C$5:$C$404,M$3,Task!$K$5:$K$404,"Không áp dụng"))=0,"–",IF(COUNTIFS(Task!$A$5:$A$404,$A35,Task!$C$5:$C$404,M$3,Task!$K$5:$K$404,"Hoàn thành")=(COUNTIFS(Task!$A$5:$A$404,$A35,Task!$C$5:$C$404,M$3)-COUNTIFS(Task!$A$5:$A$404,$A35,Task!$C$5:$C$404,M$3,Task!$K$5:$K$404,"Không áp dụng")),"Xong",IF(COUNTIFS(Task!$A$5:$A$404,$A35,Task!$C$5:$C$404,M$3,Task!$K$5:$K$404,"Bị chặn")&gt;0,"Bị chặn",IF(COUNTIFS(Task!$A$5:$A$404,$A35,Task!$C$5:$C$404,M$3,Task!$K$5:$K$404,"Hoàn thành")+COUNTIFS(Task!$A$5:$A$404,$A35,Task!$C$5:$C$404,M$3,Task!$K$5:$K$404,"Đang làm")&gt;0,"Đang làm","Chưa")))))</f>
        <v/>
      </c>
      <c r="N35" s="14" t="str">
        <f aca="false">IF($A35="","",IF(F35&lt;&gt;"Xong",1,IF(G35&lt;&gt;"Xong",2,IF(H35&lt;&gt;"Xong",3,IF(I35&lt;&gt;"Xong",4,IF(J35&lt;&gt;"Xong",5,IF(K35&lt;&gt;"Xong",6,IF(L35&lt;&gt;"Xong",7,IF(M35&lt;&gt;"Xong",8,9)))))))))</f>
        <v/>
      </c>
      <c r="O35" s="14" t="str">
        <f aca="false">IF($A35="","",IF($N35=9,"Hoàn tất",INDEX('Quy trình'!$B$5:$B$12,$N35)))</f>
        <v/>
      </c>
      <c r="P35" s="14" t="str">
        <f aca="false">IF($A35="","",COUNTIFS(Task!$A$5:$A$404,$A35)-COUNTIFS(Task!$A$5:$A$404,$A35,Task!$K$5:$K$404,"Không áp dụng"))</f>
        <v/>
      </c>
      <c r="Q35" s="14" t="str">
        <f aca="false">IF($A35="","",COUNTIFS(Task!$A$5:$A$404,$A35,Task!$K$5:$K$404,"Hoàn thành"))</f>
        <v/>
      </c>
      <c r="R35" s="16" t="str">
        <f aca="false">IF($A35="","",Q35/MAX(P35,COUNTA('Mẫu task'!$A$5:$A$64)))</f>
        <v/>
      </c>
      <c r="S35" s="14" t="str">
        <f aca="false">IF($A35="","",SUMIFS(Task!$O$5:$O$404,Task!$A$5:$A$404,$A35))</f>
        <v/>
      </c>
      <c r="T35" s="14" t="str">
        <f aca="false">IF($A35="","",COUNTIFS(Task!$A$5:$A$404,$A35,Task!$K$5:$K$404,"Bị chặn"))</f>
        <v/>
      </c>
      <c r="U35" s="14" t="str">
        <f aca="false">IF($A35="","",IF(P35=0,"Chưa có task",IF(T35&gt;0,"Bị chặn",IF(S35&gt;0,"Có việc trễ",IF(N35=9,"Hoàn tất","Đúng tiến độ")))))</f>
        <v/>
      </c>
      <c r="V35" s="14" t="str">
        <f aca="false">IF($A35="","",IFERROR(INDEX('Chấm điểm'!$D$16:$M$16,MATCH($A35,'Chấm điểm'!$D$4:$M$4,0)),""))</f>
        <v/>
      </c>
    </row>
    <row r="36" customFormat="false" ht="15" hidden="false" customHeight="false" outlineLevel="0" collapsed="false">
      <c r="A36" s="19"/>
      <c r="B36" s="19"/>
      <c r="C36" s="19"/>
      <c r="D36" s="19"/>
      <c r="E36" s="20"/>
      <c r="F36" s="14" t="str">
        <f aca="false">IF($A36="","",IF((COUNTIFS(Task!$A$5:$A$404,$A36,Task!$C$5:$C$404,F$3)-COUNTIFS(Task!$A$5:$A$404,$A36,Task!$C$5:$C$404,F$3,Task!$K$5:$K$404,"Không áp dụng"))=0,"–",IF(COUNTIFS(Task!$A$5:$A$404,$A36,Task!$C$5:$C$404,F$3,Task!$K$5:$K$404,"Hoàn thành")=(COUNTIFS(Task!$A$5:$A$404,$A36,Task!$C$5:$C$404,F$3)-COUNTIFS(Task!$A$5:$A$404,$A36,Task!$C$5:$C$404,F$3,Task!$K$5:$K$404,"Không áp dụng")),"Xong",IF(COUNTIFS(Task!$A$5:$A$404,$A36,Task!$C$5:$C$404,F$3,Task!$K$5:$K$404,"Bị chặn")&gt;0,"Bị chặn",IF(COUNTIFS(Task!$A$5:$A$404,$A36,Task!$C$5:$C$404,F$3,Task!$K$5:$K$404,"Hoàn thành")+COUNTIFS(Task!$A$5:$A$404,$A36,Task!$C$5:$C$404,F$3,Task!$K$5:$K$404,"Đang làm")&gt;0,"Đang làm","Chưa")))))</f>
        <v/>
      </c>
      <c r="G36" s="14" t="str">
        <f aca="false">IF($A36="","",IF((COUNTIFS(Task!$A$5:$A$404,$A36,Task!$C$5:$C$404,G$3)-COUNTIFS(Task!$A$5:$A$404,$A36,Task!$C$5:$C$404,G$3,Task!$K$5:$K$404,"Không áp dụng"))=0,"–",IF(COUNTIFS(Task!$A$5:$A$404,$A36,Task!$C$5:$C$404,G$3,Task!$K$5:$K$404,"Hoàn thành")=(COUNTIFS(Task!$A$5:$A$404,$A36,Task!$C$5:$C$404,G$3)-COUNTIFS(Task!$A$5:$A$404,$A36,Task!$C$5:$C$404,G$3,Task!$K$5:$K$404,"Không áp dụng")),"Xong",IF(COUNTIFS(Task!$A$5:$A$404,$A36,Task!$C$5:$C$404,G$3,Task!$K$5:$K$404,"Bị chặn")&gt;0,"Bị chặn",IF(COUNTIFS(Task!$A$5:$A$404,$A36,Task!$C$5:$C$404,G$3,Task!$K$5:$K$404,"Hoàn thành")+COUNTIFS(Task!$A$5:$A$404,$A36,Task!$C$5:$C$404,G$3,Task!$K$5:$K$404,"Đang làm")&gt;0,"Đang làm","Chưa")))))</f>
        <v/>
      </c>
      <c r="H36" s="14" t="str">
        <f aca="false">IF($A36="","",IF((COUNTIFS(Task!$A$5:$A$404,$A36,Task!$C$5:$C$404,H$3)-COUNTIFS(Task!$A$5:$A$404,$A36,Task!$C$5:$C$404,H$3,Task!$K$5:$K$404,"Không áp dụng"))=0,"–",IF(COUNTIFS(Task!$A$5:$A$404,$A36,Task!$C$5:$C$404,H$3,Task!$K$5:$K$404,"Hoàn thành")=(COUNTIFS(Task!$A$5:$A$404,$A36,Task!$C$5:$C$404,H$3)-COUNTIFS(Task!$A$5:$A$404,$A36,Task!$C$5:$C$404,H$3,Task!$K$5:$K$404,"Không áp dụng")),"Xong",IF(COUNTIFS(Task!$A$5:$A$404,$A36,Task!$C$5:$C$404,H$3,Task!$K$5:$K$404,"Bị chặn")&gt;0,"Bị chặn",IF(COUNTIFS(Task!$A$5:$A$404,$A36,Task!$C$5:$C$404,H$3,Task!$K$5:$K$404,"Hoàn thành")+COUNTIFS(Task!$A$5:$A$404,$A36,Task!$C$5:$C$404,H$3,Task!$K$5:$K$404,"Đang làm")&gt;0,"Đang làm","Chưa")))))</f>
        <v/>
      </c>
      <c r="I36" s="14" t="str">
        <f aca="false">IF($A36="","",IF((COUNTIFS(Task!$A$5:$A$404,$A36,Task!$C$5:$C$404,I$3)-COUNTIFS(Task!$A$5:$A$404,$A36,Task!$C$5:$C$404,I$3,Task!$K$5:$K$404,"Không áp dụng"))=0,"–",IF(COUNTIFS(Task!$A$5:$A$404,$A36,Task!$C$5:$C$404,I$3,Task!$K$5:$K$404,"Hoàn thành")=(COUNTIFS(Task!$A$5:$A$404,$A36,Task!$C$5:$C$404,I$3)-COUNTIFS(Task!$A$5:$A$404,$A36,Task!$C$5:$C$404,I$3,Task!$K$5:$K$404,"Không áp dụng")),"Xong",IF(COUNTIFS(Task!$A$5:$A$404,$A36,Task!$C$5:$C$404,I$3,Task!$K$5:$K$404,"Bị chặn")&gt;0,"Bị chặn",IF(COUNTIFS(Task!$A$5:$A$404,$A36,Task!$C$5:$C$404,I$3,Task!$K$5:$K$404,"Hoàn thành")+COUNTIFS(Task!$A$5:$A$404,$A36,Task!$C$5:$C$404,I$3,Task!$K$5:$K$404,"Đang làm")&gt;0,"Đang làm","Chưa")))))</f>
        <v/>
      </c>
      <c r="J36" s="14" t="str">
        <f aca="false">IF($A36="","",IF((COUNTIFS(Task!$A$5:$A$404,$A36,Task!$C$5:$C$404,J$3)-COUNTIFS(Task!$A$5:$A$404,$A36,Task!$C$5:$C$404,J$3,Task!$K$5:$K$404,"Không áp dụng"))=0,"–",IF(COUNTIFS(Task!$A$5:$A$404,$A36,Task!$C$5:$C$404,J$3,Task!$K$5:$K$404,"Hoàn thành")=(COUNTIFS(Task!$A$5:$A$404,$A36,Task!$C$5:$C$404,J$3)-COUNTIFS(Task!$A$5:$A$404,$A36,Task!$C$5:$C$404,J$3,Task!$K$5:$K$404,"Không áp dụng")),"Xong",IF(COUNTIFS(Task!$A$5:$A$404,$A36,Task!$C$5:$C$404,J$3,Task!$K$5:$K$404,"Bị chặn")&gt;0,"Bị chặn",IF(COUNTIFS(Task!$A$5:$A$404,$A36,Task!$C$5:$C$404,J$3,Task!$K$5:$K$404,"Hoàn thành")+COUNTIFS(Task!$A$5:$A$404,$A36,Task!$C$5:$C$404,J$3,Task!$K$5:$K$404,"Đang làm")&gt;0,"Đang làm","Chưa")))))</f>
        <v/>
      </c>
      <c r="K36" s="14" t="str">
        <f aca="false">IF($A36="","",IF((COUNTIFS(Task!$A$5:$A$404,$A36,Task!$C$5:$C$404,K$3)-COUNTIFS(Task!$A$5:$A$404,$A36,Task!$C$5:$C$404,K$3,Task!$K$5:$K$404,"Không áp dụng"))=0,"–",IF(COUNTIFS(Task!$A$5:$A$404,$A36,Task!$C$5:$C$404,K$3,Task!$K$5:$K$404,"Hoàn thành")=(COUNTIFS(Task!$A$5:$A$404,$A36,Task!$C$5:$C$404,K$3)-COUNTIFS(Task!$A$5:$A$404,$A36,Task!$C$5:$C$404,K$3,Task!$K$5:$K$404,"Không áp dụng")),"Xong",IF(COUNTIFS(Task!$A$5:$A$404,$A36,Task!$C$5:$C$404,K$3,Task!$K$5:$K$404,"Bị chặn")&gt;0,"Bị chặn",IF(COUNTIFS(Task!$A$5:$A$404,$A36,Task!$C$5:$C$404,K$3,Task!$K$5:$K$404,"Hoàn thành")+COUNTIFS(Task!$A$5:$A$404,$A36,Task!$C$5:$C$404,K$3,Task!$K$5:$K$404,"Đang làm")&gt;0,"Đang làm","Chưa")))))</f>
        <v/>
      </c>
      <c r="L36" s="14" t="str">
        <f aca="false">IF($A36="","",IF((COUNTIFS(Task!$A$5:$A$404,$A36,Task!$C$5:$C$404,L$3)-COUNTIFS(Task!$A$5:$A$404,$A36,Task!$C$5:$C$404,L$3,Task!$K$5:$K$404,"Không áp dụng"))=0,"–",IF(COUNTIFS(Task!$A$5:$A$404,$A36,Task!$C$5:$C$404,L$3,Task!$K$5:$K$404,"Hoàn thành")=(COUNTIFS(Task!$A$5:$A$404,$A36,Task!$C$5:$C$404,L$3)-COUNTIFS(Task!$A$5:$A$404,$A36,Task!$C$5:$C$404,L$3,Task!$K$5:$K$404,"Không áp dụng")),"Xong",IF(COUNTIFS(Task!$A$5:$A$404,$A36,Task!$C$5:$C$404,L$3,Task!$K$5:$K$404,"Bị chặn")&gt;0,"Bị chặn",IF(COUNTIFS(Task!$A$5:$A$404,$A36,Task!$C$5:$C$404,L$3,Task!$K$5:$K$404,"Hoàn thành")+COUNTIFS(Task!$A$5:$A$404,$A36,Task!$C$5:$C$404,L$3,Task!$K$5:$K$404,"Đang làm")&gt;0,"Đang làm","Chưa")))))</f>
        <v/>
      </c>
      <c r="M36" s="14" t="str">
        <f aca="false">IF($A36="","",IF((COUNTIFS(Task!$A$5:$A$404,$A36,Task!$C$5:$C$404,M$3)-COUNTIFS(Task!$A$5:$A$404,$A36,Task!$C$5:$C$404,M$3,Task!$K$5:$K$404,"Không áp dụng"))=0,"–",IF(COUNTIFS(Task!$A$5:$A$404,$A36,Task!$C$5:$C$404,M$3,Task!$K$5:$K$404,"Hoàn thành")=(COUNTIFS(Task!$A$5:$A$404,$A36,Task!$C$5:$C$404,M$3)-COUNTIFS(Task!$A$5:$A$404,$A36,Task!$C$5:$C$404,M$3,Task!$K$5:$K$404,"Không áp dụng")),"Xong",IF(COUNTIFS(Task!$A$5:$A$404,$A36,Task!$C$5:$C$404,M$3,Task!$K$5:$K$404,"Bị chặn")&gt;0,"Bị chặn",IF(COUNTIFS(Task!$A$5:$A$404,$A36,Task!$C$5:$C$404,M$3,Task!$K$5:$K$404,"Hoàn thành")+COUNTIFS(Task!$A$5:$A$404,$A36,Task!$C$5:$C$404,M$3,Task!$K$5:$K$404,"Đang làm")&gt;0,"Đang làm","Chưa")))))</f>
        <v/>
      </c>
      <c r="N36" s="14" t="str">
        <f aca="false">IF($A36="","",IF(F36&lt;&gt;"Xong",1,IF(G36&lt;&gt;"Xong",2,IF(H36&lt;&gt;"Xong",3,IF(I36&lt;&gt;"Xong",4,IF(J36&lt;&gt;"Xong",5,IF(K36&lt;&gt;"Xong",6,IF(L36&lt;&gt;"Xong",7,IF(M36&lt;&gt;"Xong",8,9)))))))))</f>
        <v/>
      </c>
      <c r="O36" s="14" t="str">
        <f aca="false">IF($A36="","",IF($N36=9,"Hoàn tất",INDEX('Quy trình'!$B$5:$B$12,$N36)))</f>
        <v/>
      </c>
      <c r="P36" s="14" t="str">
        <f aca="false">IF($A36="","",COUNTIFS(Task!$A$5:$A$404,$A36)-COUNTIFS(Task!$A$5:$A$404,$A36,Task!$K$5:$K$404,"Không áp dụng"))</f>
        <v/>
      </c>
      <c r="Q36" s="14" t="str">
        <f aca="false">IF($A36="","",COUNTIFS(Task!$A$5:$A$404,$A36,Task!$K$5:$K$404,"Hoàn thành"))</f>
        <v/>
      </c>
      <c r="R36" s="16" t="str">
        <f aca="false">IF($A36="","",Q36/MAX(P36,COUNTA('Mẫu task'!$A$5:$A$64)))</f>
        <v/>
      </c>
      <c r="S36" s="14" t="str">
        <f aca="false">IF($A36="","",SUMIFS(Task!$O$5:$O$404,Task!$A$5:$A$404,$A36))</f>
        <v/>
      </c>
      <c r="T36" s="14" t="str">
        <f aca="false">IF($A36="","",COUNTIFS(Task!$A$5:$A$404,$A36,Task!$K$5:$K$404,"Bị chặn"))</f>
        <v/>
      </c>
      <c r="U36" s="14" t="str">
        <f aca="false">IF($A36="","",IF(P36=0,"Chưa có task",IF(T36&gt;0,"Bị chặn",IF(S36&gt;0,"Có việc trễ",IF(N36=9,"Hoàn tất","Đúng tiến độ")))))</f>
        <v/>
      </c>
      <c r="V36" s="14" t="str">
        <f aca="false">IF($A36="","",IFERROR(INDEX('Chấm điểm'!$D$16:$M$16,MATCH($A36,'Chấm điểm'!$D$4:$M$4,0)),""))</f>
        <v/>
      </c>
    </row>
    <row r="37" customFormat="false" ht="15" hidden="false" customHeight="false" outlineLevel="0" collapsed="false">
      <c r="A37" s="19"/>
      <c r="B37" s="19"/>
      <c r="C37" s="19"/>
      <c r="D37" s="19"/>
      <c r="E37" s="20"/>
      <c r="F37" s="14" t="str">
        <f aca="false">IF($A37="","",IF((COUNTIFS(Task!$A$5:$A$404,$A37,Task!$C$5:$C$404,F$3)-COUNTIFS(Task!$A$5:$A$404,$A37,Task!$C$5:$C$404,F$3,Task!$K$5:$K$404,"Không áp dụng"))=0,"–",IF(COUNTIFS(Task!$A$5:$A$404,$A37,Task!$C$5:$C$404,F$3,Task!$K$5:$K$404,"Hoàn thành")=(COUNTIFS(Task!$A$5:$A$404,$A37,Task!$C$5:$C$404,F$3)-COUNTIFS(Task!$A$5:$A$404,$A37,Task!$C$5:$C$404,F$3,Task!$K$5:$K$404,"Không áp dụng")),"Xong",IF(COUNTIFS(Task!$A$5:$A$404,$A37,Task!$C$5:$C$404,F$3,Task!$K$5:$K$404,"Bị chặn")&gt;0,"Bị chặn",IF(COUNTIFS(Task!$A$5:$A$404,$A37,Task!$C$5:$C$404,F$3,Task!$K$5:$K$404,"Hoàn thành")+COUNTIFS(Task!$A$5:$A$404,$A37,Task!$C$5:$C$404,F$3,Task!$K$5:$K$404,"Đang làm")&gt;0,"Đang làm","Chưa")))))</f>
        <v/>
      </c>
      <c r="G37" s="14" t="str">
        <f aca="false">IF($A37="","",IF((COUNTIFS(Task!$A$5:$A$404,$A37,Task!$C$5:$C$404,G$3)-COUNTIFS(Task!$A$5:$A$404,$A37,Task!$C$5:$C$404,G$3,Task!$K$5:$K$404,"Không áp dụng"))=0,"–",IF(COUNTIFS(Task!$A$5:$A$404,$A37,Task!$C$5:$C$404,G$3,Task!$K$5:$K$404,"Hoàn thành")=(COUNTIFS(Task!$A$5:$A$404,$A37,Task!$C$5:$C$404,G$3)-COUNTIFS(Task!$A$5:$A$404,$A37,Task!$C$5:$C$404,G$3,Task!$K$5:$K$404,"Không áp dụng")),"Xong",IF(COUNTIFS(Task!$A$5:$A$404,$A37,Task!$C$5:$C$404,G$3,Task!$K$5:$K$404,"Bị chặn")&gt;0,"Bị chặn",IF(COUNTIFS(Task!$A$5:$A$404,$A37,Task!$C$5:$C$404,G$3,Task!$K$5:$K$404,"Hoàn thành")+COUNTIFS(Task!$A$5:$A$404,$A37,Task!$C$5:$C$404,G$3,Task!$K$5:$K$404,"Đang làm")&gt;0,"Đang làm","Chưa")))))</f>
        <v/>
      </c>
      <c r="H37" s="14" t="str">
        <f aca="false">IF($A37="","",IF((COUNTIFS(Task!$A$5:$A$404,$A37,Task!$C$5:$C$404,H$3)-COUNTIFS(Task!$A$5:$A$404,$A37,Task!$C$5:$C$404,H$3,Task!$K$5:$K$404,"Không áp dụng"))=0,"–",IF(COUNTIFS(Task!$A$5:$A$404,$A37,Task!$C$5:$C$404,H$3,Task!$K$5:$K$404,"Hoàn thành")=(COUNTIFS(Task!$A$5:$A$404,$A37,Task!$C$5:$C$404,H$3)-COUNTIFS(Task!$A$5:$A$404,$A37,Task!$C$5:$C$404,H$3,Task!$K$5:$K$404,"Không áp dụng")),"Xong",IF(COUNTIFS(Task!$A$5:$A$404,$A37,Task!$C$5:$C$404,H$3,Task!$K$5:$K$404,"Bị chặn")&gt;0,"Bị chặn",IF(COUNTIFS(Task!$A$5:$A$404,$A37,Task!$C$5:$C$404,H$3,Task!$K$5:$K$404,"Hoàn thành")+COUNTIFS(Task!$A$5:$A$404,$A37,Task!$C$5:$C$404,H$3,Task!$K$5:$K$404,"Đang làm")&gt;0,"Đang làm","Chưa")))))</f>
        <v/>
      </c>
      <c r="I37" s="14" t="str">
        <f aca="false">IF($A37="","",IF((COUNTIFS(Task!$A$5:$A$404,$A37,Task!$C$5:$C$404,I$3)-COUNTIFS(Task!$A$5:$A$404,$A37,Task!$C$5:$C$404,I$3,Task!$K$5:$K$404,"Không áp dụng"))=0,"–",IF(COUNTIFS(Task!$A$5:$A$404,$A37,Task!$C$5:$C$404,I$3,Task!$K$5:$K$404,"Hoàn thành")=(COUNTIFS(Task!$A$5:$A$404,$A37,Task!$C$5:$C$404,I$3)-COUNTIFS(Task!$A$5:$A$404,$A37,Task!$C$5:$C$404,I$3,Task!$K$5:$K$404,"Không áp dụng")),"Xong",IF(COUNTIFS(Task!$A$5:$A$404,$A37,Task!$C$5:$C$404,I$3,Task!$K$5:$K$404,"Bị chặn")&gt;0,"Bị chặn",IF(COUNTIFS(Task!$A$5:$A$404,$A37,Task!$C$5:$C$404,I$3,Task!$K$5:$K$404,"Hoàn thành")+COUNTIFS(Task!$A$5:$A$404,$A37,Task!$C$5:$C$404,I$3,Task!$K$5:$K$404,"Đang làm")&gt;0,"Đang làm","Chưa")))))</f>
        <v/>
      </c>
      <c r="J37" s="14" t="str">
        <f aca="false">IF($A37="","",IF((COUNTIFS(Task!$A$5:$A$404,$A37,Task!$C$5:$C$404,J$3)-COUNTIFS(Task!$A$5:$A$404,$A37,Task!$C$5:$C$404,J$3,Task!$K$5:$K$404,"Không áp dụng"))=0,"–",IF(COUNTIFS(Task!$A$5:$A$404,$A37,Task!$C$5:$C$404,J$3,Task!$K$5:$K$404,"Hoàn thành")=(COUNTIFS(Task!$A$5:$A$404,$A37,Task!$C$5:$C$404,J$3)-COUNTIFS(Task!$A$5:$A$404,$A37,Task!$C$5:$C$404,J$3,Task!$K$5:$K$404,"Không áp dụng")),"Xong",IF(COUNTIFS(Task!$A$5:$A$404,$A37,Task!$C$5:$C$404,J$3,Task!$K$5:$K$404,"Bị chặn")&gt;0,"Bị chặn",IF(COUNTIFS(Task!$A$5:$A$404,$A37,Task!$C$5:$C$404,J$3,Task!$K$5:$K$404,"Hoàn thành")+COUNTIFS(Task!$A$5:$A$404,$A37,Task!$C$5:$C$404,J$3,Task!$K$5:$K$404,"Đang làm")&gt;0,"Đang làm","Chưa")))))</f>
        <v/>
      </c>
      <c r="K37" s="14" t="str">
        <f aca="false">IF($A37="","",IF((COUNTIFS(Task!$A$5:$A$404,$A37,Task!$C$5:$C$404,K$3)-COUNTIFS(Task!$A$5:$A$404,$A37,Task!$C$5:$C$404,K$3,Task!$K$5:$K$404,"Không áp dụng"))=0,"–",IF(COUNTIFS(Task!$A$5:$A$404,$A37,Task!$C$5:$C$404,K$3,Task!$K$5:$K$404,"Hoàn thành")=(COUNTIFS(Task!$A$5:$A$404,$A37,Task!$C$5:$C$404,K$3)-COUNTIFS(Task!$A$5:$A$404,$A37,Task!$C$5:$C$404,K$3,Task!$K$5:$K$404,"Không áp dụng")),"Xong",IF(COUNTIFS(Task!$A$5:$A$404,$A37,Task!$C$5:$C$404,K$3,Task!$K$5:$K$404,"Bị chặn")&gt;0,"Bị chặn",IF(COUNTIFS(Task!$A$5:$A$404,$A37,Task!$C$5:$C$404,K$3,Task!$K$5:$K$404,"Hoàn thành")+COUNTIFS(Task!$A$5:$A$404,$A37,Task!$C$5:$C$404,K$3,Task!$K$5:$K$404,"Đang làm")&gt;0,"Đang làm","Chưa")))))</f>
        <v/>
      </c>
      <c r="L37" s="14" t="str">
        <f aca="false">IF($A37="","",IF((COUNTIFS(Task!$A$5:$A$404,$A37,Task!$C$5:$C$404,L$3)-COUNTIFS(Task!$A$5:$A$404,$A37,Task!$C$5:$C$404,L$3,Task!$K$5:$K$404,"Không áp dụng"))=0,"–",IF(COUNTIFS(Task!$A$5:$A$404,$A37,Task!$C$5:$C$404,L$3,Task!$K$5:$K$404,"Hoàn thành")=(COUNTIFS(Task!$A$5:$A$404,$A37,Task!$C$5:$C$404,L$3)-COUNTIFS(Task!$A$5:$A$404,$A37,Task!$C$5:$C$404,L$3,Task!$K$5:$K$404,"Không áp dụng")),"Xong",IF(COUNTIFS(Task!$A$5:$A$404,$A37,Task!$C$5:$C$404,L$3,Task!$K$5:$K$404,"Bị chặn")&gt;0,"Bị chặn",IF(COUNTIFS(Task!$A$5:$A$404,$A37,Task!$C$5:$C$404,L$3,Task!$K$5:$K$404,"Hoàn thành")+COUNTIFS(Task!$A$5:$A$404,$A37,Task!$C$5:$C$404,L$3,Task!$K$5:$K$404,"Đang làm")&gt;0,"Đang làm","Chưa")))))</f>
        <v/>
      </c>
      <c r="M37" s="14" t="str">
        <f aca="false">IF($A37="","",IF((COUNTIFS(Task!$A$5:$A$404,$A37,Task!$C$5:$C$404,M$3)-COUNTIFS(Task!$A$5:$A$404,$A37,Task!$C$5:$C$404,M$3,Task!$K$5:$K$404,"Không áp dụng"))=0,"–",IF(COUNTIFS(Task!$A$5:$A$404,$A37,Task!$C$5:$C$404,M$3,Task!$K$5:$K$404,"Hoàn thành")=(COUNTIFS(Task!$A$5:$A$404,$A37,Task!$C$5:$C$404,M$3)-COUNTIFS(Task!$A$5:$A$404,$A37,Task!$C$5:$C$404,M$3,Task!$K$5:$K$404,"Không áp dụng")),"Xong",IF(COUNTIFS(Task!$A$5:$A$404,$A37,Task!$C$5:$C$404,M$3,Task!$K$5:$K$404,"Bị chặn")&gt;0,"Bị chặn",IF(COUNTIFS(Task!$A$5:$A$404,$A37,Task!$C$5:$C$404,M$3,Task!$K$5:$K$404,"Hoàn thành")+COUNTIFS(Task!$A$5:$A$404,$A37,Task!$C$5:$C$404,M$3,Task!$K$5:$K$404,"Đang làm")&gt;0,"Đang làm","Chưa")))))</f>
        <v/>
      </c>
      <c r="N37" s="14" t="str">
        <f aca="false">IF($A37="","",IF(F37&lt;&gt;"Xong",1,IF(G37&lt;&gt;"Xong",2,IF(H37&lt;&gt;"Xong",3,IF(I37&lt;&gt;"Xong",4,IF(J37&lt;&gt;"Xong",5,IF(K37&lt;&gt;"Xong",6,IF(L37&lt;&gt;"Xong",7,IF(M37&lt;&gt;"Xong",8,9)))))))))</f>
        <v/>
      </c>
      <c r="O37" s="14" t="str">
        <f aca="false">IF($A37="","",IF($N37=9,"Hoàn tất",INDEX('Quy trình'!$B$5:$B$12,$N37)))</f>
        <v/>
      </c>
      <c r="P37" s="14" t="str">
        <f aca="false">IF($A37="","",COUNTIFS(Task!$A$5:$A$404,$A37)-COUNTIFS(Task!$A$5:$A$404,$A37,Task!$K$5:$K$404,"Không áp dụng"))</f>
        <v/>
      </c>
      <c r="Q37" s="14" t="str">
        <f aca="false">IF($A37="","",COUNTIFS(Task!$A$5:$A$404,$A37,Task!$K$5:$K$404,"Hoàn thành"))</f>
        <v/>
      </c>
      <c r="R37" s="16" t="str">
        <f aca="false">IF($A37="","",Q37/MAX(P37,COUNTA('Mẫu task'!$A$5:$A$64)))</f>
        <v/>
      </c>
      <c r="S37" s="14" t="str">
        <f aca="false">IF($A37="","",SUMIFS(Task!$O$5:$O$404,Task!$A$5:$A$404,$A37))</f>
        <v/>
      </c>
      <c r="T37" s="14" t="str">
        <f aca="false">IF($A37="","",COUNTIFS(Task!$A$5:$A$404,$A37,Task!$K$5:$K$404,"Bị chặn"))</f>
        <v/>
      </c>
      <c r="U37" s="14" t="str">
        <f aca="false">IF($A37="","",IF(P37=0,"Chưa có task",IF(T37&gt;0,"Bị chặn",IF(S37&gt;0,"Có việc trễ",IF(N37=9,"Hoàn tất","Đúng tiến độ")))))</f>
        <v/>
      </c>
      <c r="V37" s="14" t="str">
        <f aca="false">IF($A37="","",IFERROR(INDEX('Chấm điểm'!$D$16:$M$16,MATCH($A37,'Chấm điểm'!$D$4:$M$4,0)),""))</f>
        <v/>
      </c>
    </row>
    <row r="38" customFormat="false" ht="15" hidden="false" customHeight="false" outlineLevel="0" collapsed="false">
      <c r="A38" s="19"/>
      <c r="B38" s="19"/>
      <c r="C38" s="19"/>
      <c r="D38" s="19"/>
      <c r="E38" s="20"/>
      <c r="F38" s="14" t="str">
        <f aca="false">IF($A38="","",IF((COUNTIFS(Task!$A$5:$A$404,$A38,Task!$C$5:$C$404,F$3)-COUNTIFS(Task!$A$5:$A$404,$A38,Task!$C$5:$C$404,F$3,Task!$K$5:$K$404,"Không áp dụng"))=0,"–",IF(COUNTIFS(Task!$A$5:$A$404,$A38,Task!$C$5:$C$404,F$3,Task!$K$5:$K$404,"Hoàn thành")=(COUNTIFS(Task!$A$5:$A$404,$A38,Task!$C$5:$C$404,F$3)-COUNTIFS(Task!$A$5:$A$404,$A38,Task!$C$5:$C$404,F$3,Task!$K$5:$K$404,"Không áp dụng")),"Xong",IF(COUNTIFS(Task!$A$5:$A$404,$A38,Task!$C$5:$C$404,F$3,Task!$K$5:$K$404,"Bị chặn")&gt;0,"Bị chặn",IF(COUNTIFS(Task!$A$5:$A$404,$A38,Task!$C$5:$C$404,F$3,Task!$K$5:$K$404,"Hoàn thành")+COUNTIFS(Task!$A$5:$A$404,$A38,Task!$C$5:$C$404,F$3,Task!$K$5:$K$404,"Đang làm")&gt;0,"Đang làm","Chưa")))))</f>
        <v/>
      </c>
      <c r="G38" s="14" t="str">
        <f aca="false">IF($A38="","",IF((COUNTIFS(Task!$A$5:$A$404,$A38,Task!$C$5:$C$404,G$3)-COUNTIFS(Task!$A$5:$A$404,$A38,Task!$C$5:$C$404,G$3,Task!$K$5:$K$404,"Không áp dụng"))=0,"–",IF(COUNTIFS(Task!$A$5:$A$404,$A38,Task!$C$5:$C$404,G$3,Task!$K$5:$K$404,"Hoàn thành")=(COUNTIFS(Task!$A$5:$A$404,$A38,Task!$C$5:$C$404,G$3)-COUNTIFS(Task!$A$5:$A$404,$A38,Task!$C$5:$C$404,G$3,Task!$K$5:$K$404,"Không áp dụng")),"Xong",IF(COUNTIFS(Task!$A$5:$A$404,$A38,Task!$C$5:$C$404,G$3,Task!$K$5:$K$404,"Bị chặn")&gt;0,"Bị chặn",IF(COUNTIFS(Task!$A$5:$A$404,$A38,Task!$C$5:$C$404,G$3,Task!$K$5:$K$404,"Hoàn thành")+COUNTIFS(Task!$A$5:$A$404,$A38,Task!$C$5:$C$404,G$3,Task!$K$5:$K$404,"Đang làm")&gt;0,"Đang làm","Chưa")))))</f>
        <v/>
      </c>
      <c r="H38" s="14" t="str">
        <f aca="false">IF($A38="","",IF((COUNTIFS(Task!$A$5:$A$404,$A38,Task!$C$5:$C$404,H$3)-COUNTIFS(Task!$A$5:$A$404,$A38,Task!$C$5:$C$404,H$3,Task!$K$5:$K$404,"Không áp dụng"))=0,"–",IF(COUNTIFS(Task!$A$5:$A$404,$A38,Task!$C$5:$C$404,H$3,Task!$K$5:$K$404,"Hoàn thành")=(COUNTIFS(Task!$A$5:$A$404,$A38,Task!$C$5:$C$404,H$3)-COUNTIFS(Task!$A$5:$A$404,$A38,Task!$C$5:$C$404,H$3,Task!$K$5:$K$404,"Không áp dụng")),"Xong",IF(COUNTIFS(Task!$A$5:$A$404,$A38,Task!$C$5:$C$404,H$3,Task!$K$5:$K$404,"Bị chặn")&gt;0,"Bị chặn",IF(COUNTIFS(Task!$A$5:$A$404,$A38,Task!$C$5:$C$404,H$3,Task!$K$5:$K$404,"Hoàn thành")+COUNTIFS(Task!$A$5:$A$404,$A38,Task!$C$5:$C$404,H$3,Task!$K$5:$K$404,"Đang làm")&gt;0,"Đang làm","Chưa")))))</f>
        <v/>
      </c>
      <c r="I38" s="14" t="str">
        <f aca="false">IF($A38="","",IF((COUNTIFS(Task!$A$5:$A$404,$A38,Task!$C$5:$C$404,I$3)-COUNTIFS(Task!$A$5:$A$404,$A38,Task!$C$5:$C$404,I$3,Task!$K$5:$K$404,"Không áp dụng"))=0,"–",IF(COUNTIFS(Task!$A$5:$A$404,$A38,Task!$C$5:$C$404,I$3,Task!$K$5:$K$404,"Hoàn thành")=(COUNTIFS(Task!$A$5:$A$404,$A38,Task!$C$5:$C$404,I$3)-COUNTIFS(Task!$A$5:$A$404,$A38,Task!$C$5:$C$404,I$3,Task!$K$5:$K$404,"Không áp dụng")),"Xong",IF(COUNTIFS(Task!$A$5:$A$404,$A38,Task!$C$5:$C$404,I$3,Task!$K$5:$K$404,"Bị chặn")&gt;0,"Bị chặn",IF(COUNTIFS(Task!$A$5:$A$404,$A38,Task!$C$5:$C$404,I$3,Task!$K$5:$K$404,"Hoàn thành")+COUNTIFS(Task!$A$5:$A$404,$A38,Task!$C$5:$C$404,I$3,Task!$K$5:$K$404,"Đang làm")&gt;0,"Đang làm","Chưa")))))</f>
        <v/>
      </c>
      <c r="J38" s="14" t="str">
        <f aca="false">IF($A38="","",IF((COUNTIFS(Task!$A$5:$A$404,$A38,Task!$C$5:$C$404,J$3)-COUNTIFS(Task!$A$5:$A$404,$A38,Task!$C$5:$C$404,J$3,Task!$K$5:$K$404,"Không áp dụng"))=0,"–",IF(COUNTIFS(Task!$A$5:$A$404,$A38,Task!$C$5:$C$404,J$3,Task!$K$5:$K$404,"Hoàn thành")=(COUNTIFS(Task!$A$5:$A$404,$A38,Task!$C$5:$C$404,J$3)-COUNTIFS(Task!$A$5:$A$404,$A38,Task!$C$5:$C$404,J$3,Task!$K$5:$K$404,"Không áp dụng")),"Xong",IF(COUNTIFS(Task!$A$5:$A$404,$A38,Task!$C$5:$C$404,J$3,Task!$K$5:$K$404,"Bị chặn")&gt;0,"Bị chặn",IF(COUNTIFS(Task!$A$5:$A$404,$A38,Task!$C$5:$C$404,J$3,Task!$K$5:$K$404,"Hoàn thành")+COUNTIFS(Task!$A$5:$A$404,$A38,Task!$C$5:$C$404,J$3,Task!$K$5:$K$404,"Đang làm")&gt;0,"Đang làm","Chưa")))))</f>
        <v/>
      </c>
      <c r="K38" s="14" t="str">
        <f aca="false">IF($A38="","",IF((COUNTIFS(Task!$A$5:$A$404,$A38,Task!$C$5:$C$404,K$3)-COUNTIFS(Task!$A$5:$A$404,$A38,Task!$C$5:$C$404,K$3,Task!$K$5:$K$404,"Không áp dụng"))=0,"–",IF(COUNTIFS(Task!$A$5:$A$404,$A38,Task!$C$5:$C$404,K$3,Task!$K$5:$K$404,"Hoàn thành")=(COUNTIFS(Task!$A$5:$A$404,$A38,Task!$C$5:$C$404,K$3)-COUNTIFS(Task!$A$5:$A$404,$A38,Task!$C$5:$C$404,K$3,Task!$K$5:$K$404,"Không áp dụng")),"Xong",IF(COUNTIFS(Task!$A$5:$A$404,$A38,Task!$C$5:$C$404,K$3,Task!$K$5:$K$404,"Bị chặn")&gt;0,"Bị chặn",IF(COUNTIFS(Task!$A$5:$A$404,$A38,Task!$C$5:$C$404,K$3,Task!$K$5:$K$404,"Hoàn thành")+COUNTIFS(Task!$A$5:$A$404,$A38,Task!$C$5:$C$404,K$3,Task!$K$5:$K$404,"Đang làm")&gt;0,"Đang làm","Chưa")))))</f>
        <v/>
      </c>
      <c r="L38" s="14" t="str">
        <f aca="false">IF($A38="","",IF((COUNTIFS(Task!$A$5:$A$404,$A38,Task!$C$5:$C$404,L$3)-COUNTIFS(Task!$A$5:$A$404,$A38,Task!$C$5:$C$404,L$3,Task!$K$5:$K$404,"Không áp dụng"))=0,"–",IF(COUNTIFS(Task!$A$5:$A$404,$A38,Task!$C$5:$C$404,L$3,Task!$K$5:$K$404,"Hoàn thành")=(COUNTIFS(Task!$A$5:$A$404,$A38,Task!$C$5:$C$404,L$3)-COUNTIFS(Task!$A$5:$A$404,$A38,Task!$C$5:$C$404,L$3,Task!$K$5:$K$404,"Không áp dụng")),"Xong",IF(COUNTIFS(Task!$A$5:$A$404,$A38,Task!$C$5:$C$404,L$3,Task!$K$5:$K$404,"Bị chặn")&gt;0,"Bị chặn",IF(COUNTIFS(Task!$A$5:$A$404,$A38,Task!$C$5:$C$404,L$3,Task!$K$5:$K$404,"Hoàn thành")+COUNTIFS(Task!$A$5:$A$404,$A38,Task!$C$5:$C$404,L$3,Task!$K$5:$K$404,"Đang làm")&gt;0,"Đang làm","Chưa")))))</f>
        <v/>
      </c>
      <c r="M38" s="14" t="str">
        <f aca="false">IF($A38="","",IF((COUNTIFS(Task!$A$5:$A$404,$A38,Task!$C$5:$C$404,M$3)-COUNTIFS(Task!$A$5:$A$404,$A38,Task!$C$5:$C$404,M$3,Task!$K$5:$K$404,"Không áp dụng"))=0,"–",IF(COUNTIFS(Task!$A$5:$A$404,$A38,Task!$C$5:$C$404,M$3,Task!$K$5:$K$404,"Hoàn thành")=(COUNTIFS(Task!$A$5:$A$404,$A38,Task!$C$5:$C$404,M$3)-COUNTIFS(Task!$A$5:$A$404,$A38,Task!$C$5:$C$404,M$3,Task!$K$5:$K$404,"Không áp dụng")),"Xong",IF(COUNTIFS(Task!$A$5:$A$404,$A38,Task!$C$5:$C$404,M$3,Task!$K$5:$K$404,"Bị chặn")&gt;0,"Bị chặn",IF(COUNTIFS(Task!$A$5:$A$404,$A38,Task!$C$5:$C$404,M$3,Task!$K$5:$K$404,"Hoàn thành")+COUNTIFS(Task!$A$5:$A$404,$A38,Task!$C$5:$C$404,M$3,Task!$K$5:$K$404,"Đang làm")&gt;0,"Đang làm","Chưa")))))</f>
        <v/>
      </c>
      <c r="N38" s="14" t="str">
        <f aca="false">IF($A38="","",IF(F38&lt;&gt;"Xong",1,IF(G38&lt;&gt;"Xong",2,IF(H38&lt;&gt;"Xong",3,IF(I38&lt;&gt;"Xong",4,IF(J38&lt;&gt;"Xong",5,IF(K38&lt;&gt;"Xong",6,IF(L38&lt;&gt;"Xong",7,IF(M38&lt;&gt;"Xong",8,9)))))))))</f>
        <v/>
      </c>
      <c r="O38" s="14" t="str">
        <f aca="false">IF($A38="","",IF($N38=9,"Hoàn tất",INDEX('Quy trình'!$B$5:$B$12,$N38)))</f>
        <v/>
      </c>
      <c r="P38" s="14" t="str">
        <f aca="false">IF($A38="","",COUNTIFS(Task!$A$5:$A$404,$A38)-COUNTIFS(Task!$A$5:$A$404,$A38,Task!$K$5:$K$404,"Không áp dụng"))</f>
        <v/>
      </c>
      <c r="Q38" s="14" t="str">
        <f aca="false">IF($A38="","",COUNTIFS(Task!$A$5:$A$404,$A38,Task!$K$5:$K$404,"Hoàn thành"))</f>
        <v/>
      </c>
      <c r="R38" s="16" t="str">
        <f aca="false">IF($A38="","",Q38/MAX(P38,COUNTA('Mẫu task'!$A$5:$A$64)))</f>
        <v/>
      </c>
      <c r="S38" s="14" t="str">
        <f aca="false">IF($A38="","",SUMIFS(Task!$O$5:$O$404,Task!$A$5:$A$404,$A38))</f>
        <v/>
      </c>
      <c r="T38" s="14" t="str">
        <f aca="false">IF($A38="","",COUNTIFS(Task!$A$5:$A$404,$A38,Task!$K$5:$K$404,"Bị chặn"))</f>
        <v/>
      </c>
      <c r="U38" s="14" t="str">
        <f aca="false">IF($A38="","",IF(P38=0,"Chưa có task",IF(T38&gt;0,"Bị chặn",IF(S38&gt;0,"Có việc trễ",IF(N38=9,"Hoàn tất","Đúng tiến độ")))))</f>
        <v/>
      </c>
      <c r="V38" s="14" t="str">
        <f aca="false">IF($A38="","",IFERROR(INDEX('Chấm điểm'!$D$16:$M$16,MATCH($A38,'Chấm điểm'!$D$4:$M$4,0)),""))</f>
        <v/>
      </c>
    </row>
    <row r="39" customFormat="false" ht="15" hidden="false" customHeight="false" outlineLevel="0" collapsed="false">
      <c r="A39" s="19"/>
      <c r="B39" s="19"/>
      <c r="C39" s="19"/>
      <c r="D39" s="19"/>
      <c r="E39" s="20"/>
      <c r="F39" s="14" t="str">
        <f aca="false">IF($A39="","",IF((COUNTIFS(Task!$A$5:$A$404,$A39,Task!$C$5:$C$404,F$3)-COUNTIFS(Task!$A$5:$A$404,$A39,Task!$C$5:$C$404,F$3,Task!$K$5:$K$404,"Không áp dụng"))=0,"–",IF(COUNTIFS(Task!$A$5:$A$404,$A39,Task!$C$5:$C$404,F$3,Task!$K$5:$K$404,"Hoàn thành")=(COUNTIFS(Task!$A$5:$A$404,$A39,Task!$C$5:$C$404,F$3)-COUNTIFS(Task!$A$5:$A$404,$A39,Task!$C$5:$C$404,F$3,Task!$K$5:$K$404,"Không áp dụng")),"Xong",IF(COUNTIFS(Task!$A$5:$A$404,$A39,Task!$C$5:$C$404,F$3,Task!$K$5:$K$404,"Bị chặn")&gt;0,"Bị chặn",IF(COUNTIFS(Task!$A$5:$A$404,$A39,Task!$C$5:$C$404,F$3,Task!$K$5:$K$404,"Hoàn thành")+COUNTIFS(Task!$A$5:$A$404,$A39,Task!$C$5:$C$404,F$3,Task!$K$5:$K$404,"Đang làm")&gt;0,"Đang làm","Chưa")))))</f>
        <v/>
      </c>
      <c r="G39" s="14" t="str">
        <f aca="false">IF($A39="","",IF((COUNTIFS(Task!$A$5:$A$404,$A39,Task!$C$5:$C$404,G$3)-COUNTIFS(Task!$A$5:$A$404,$A39,Task!$C$5:$C$404,G$3,Task!$K$5:$K$404,"Không áp dụng"))=0,"–",IF(COUNTIFS(Task!$A$5:$A$404,$A39,Task!$C$5:$C$404,G$3,Task!$K$5:$K$404,"Hoàn thành")=(COUNTIFS(Task!$A$5:$A$404,$A39,Task!$C$5:$C$404,G$3)-COUNTIFS(Task!$A$5:$A$404,$A39,Task!$C$5:$C$404,G$3,Task!$K$5:$K$404,"Không áp dụng")),"Xong",IF(COUNTIFS(Task!$A$5:$A$404,$A39,Task!$C$5:$C$404,G$3,Task!$K$5:$K$404,"Bị chặn")&gt;0,"Bị chặn",IF(COUNTIFS(Task!$A$5:$A$404,$A39,Task!$C$5:$C$404,G$3,Task!$K$5:$K$404,"Hoàn thành")+COUNTIFS(Task!$A$5:$A$404,$A39,Task!$C$5:$C$404,G$3,Task!$K$5:$K$404,"Đang làm")&gt;0,"Đang làm","Chưa")))))</f>
        <v/>
      </c>
      <c r="H39" s="14" t="str">
        <f aca="false">IF($A39="","",IF((COUNTIFS(Task!$A$5:$A$404,$A39,Task!$C$5:$C$404,H$3)-COUNTIFS(Task!$A$5:$A$404,$A39,Task!$C$5:$C$404,H$3,Task!$K$5:$K$404,"Không áp dụng"))=0,"–",IF(COUNTIFS(Task!$A$5:$A$404,$A39,Task!$C$5:$C$404,H$3,Task!$K$5:$K$404,"Hoàn thành")=(COUNTIFS(Task!$A$5:$A$404,$A39,Task!$C$5:$C$404,H$3)-COUNTIFS(Task!$A$5:$A$404,$A39,Task!$C$5:$C$404,H$3,Task!$K$5:$K$404,"Không áp dụng")),"Xong",IF(COUNTIFS(Task!$A$5:$A$404,$A39,Task!$C$5:$C$404,H$3,Task!$K$5:$K$404,"Bị chặn")&gt;0,"Bị chặn",IF(COUNTIFS(Task!$A$5:$A$404,$A39,Task!$C$5:$C$404,H$3,Task!$K$5:$K$404,"Hoàn thành")+COUNTIFS(Task!$A$5:$A$404,$A39,Task!$C$5:$C$404,H$3,Task!$K$5:$K$404,"Đang làm")&gt;0,"Đang làm","Chưa")))))</f>
        <v/>
      </c>
      <c r="I39" s="14" t="str">
        <f aca="false">IF($A39="","",IF((COUNTIFS(Task!$A$5:$A$404,$A39,Task!$C$5:$C$404,I$3)-COUNTIFS(Task!$A$5:$A$404,$A39,Task!$C$5:$C$404,I$3,Task!$K$5:$K$404,"Không áp dụng"))=0,"–",IF(COUNTIFS(Task!$A$5:$A$404,$A39,Task!$C$5:$C$404,I$3,Task!$K$5:$K$404,"Hoàn thành")=(COUNTIFS(Task!$A$5:$A$404,$A39,Task!$C$5:$C$404,I$3)-COUNTIFS(Task!$A$5:$A$404,$A39,Task!$C$5:$C$404,I$3,Task!$K$5:$K$404,"Không áp dụng")),"Xong",IF(COUNTIFS(Task!$A$5:$A$404,$A39,Task!$C$5:$C$404,I$3,Task!$K$5:$K$404,"Bị chặn")&gt;0,"Bị chặn",IF(COUNTIFS(Task!$A$5:$A$404,$A39,Task!$C$5:$C$404,I$3,Task!$K$5:$K$404,"Hoàn thành")+COUNTIFS(Task!$A$5:$A$404,$A39,Task!$C$5:$C$404,I$3,Task!$K$5:$K$404,"Đang làm")&gt;0,"Đang làm","Chưa")))))</f>
        <v/>
      </c>
      <c r="J39" s="14" t="str">
        <f aca="false">IF($A39="","",IF((COUNTIFS(Task!$A$5:$A$404,$A39,Task!$C$5:$C$404,J$3)-COUNTIFS(Task!$A$5:$A$404,$A39,Task!$C$5:$C$404,J$3,Task!$K$5:$K$404,"Không áp dụng"))=0,"–",IF(COUNTIFS(Task!$A$5:$A$404,$A39,Task!$C$5:$C$404,J$3,Task!$K$5:$K$404,"Hoàn thành")=(COUNTIFS(Task!$A$5:$A$404,$A39,Task!$C$5:$C$404,J$3)-COUNTIFS(Task!$A$5:$A$404,$A39,Task!$C$5:$C$404,J$3,Task!$K$5:$K$404,"Không áp dụng")),"Xong",IF(COUNTIFS(Task!$A$5:$A$404,$A39,Task!$C$5:$C$404,J$3,Task!$K$5:$K$404,"Bị chặn")&gt;0,"Bị chặn",IF(COUNTIFS(Task!$A$5:$A$404,$A39,Task!$C$5:$C$404,J$3,Task!$K$5:$K$404,"Hoàn thành")+COUNTIFS(Task!$A$5:$A$404,$A39,Task!$C$5:$C$404,J$3,Task!$K$5:$K$404,"Đang làm")&gt;0,"Đang làm","Chưa")))))</f>
        <v/>
      </c>
      <c r="K39" s="14" t="str">
        <f aca="false">IF($A39="","",IF((COUNTIFS(Task!$A$5:$A$404,$A39,Task!$C$5:$C$404,K$3)-COUNTIFS(Task!$A$5:$A$404,$A39,Task!$C$5:$C$404,K$3,Task!$K$5:$K$404,"Không áp dụng"))=0,"–",IF(COUNTIFS(Task!$A$5:$A$404,$A39,Task!$C$5:$C$404,K$3,Task!$K$5:$K$404,"Hoàn thành")=(COUNTIFS(Task!$A$5:$A$404,$A39,Task!$C$5:$C$404,K$3)-COUNTIFS(Task!$A$5:$A$404,$A39,Task!$C$5:$C$404,K$3,Task!$K$5:$K$404,"Không áp dụng")),"Xong",IF(COUNTIFS(Task!$A$5:$A$404,$A39,Task!$C$5:$C$404,K$3,Task!$K$5:$K$404,"Bị chặn")&gt;0,"Bị chặn",IF(COUNTIFS(Task!$A$5:$A$404,$A39,Task!$C$5:$C$404,K$3,Task!$K$5:$K$404,"Hoàn thành")+COUNTIFS(Task!$A$5:$A$404,$A39,Task!$C$5:$C$404,K$3,Task!$K$5:$K$404,"Đang làm")&gt;0,"Đang làm","Chưa")))))</f>
        <v/>
      </c>
      <c r="L39" s="14" t="str">
        <f aca="false">IF($A39="","",IF((COUNTIFS(Task!$A$5:$A$404,$A39,Task!$C$5:$C$404,L$3)-COUNTIFS(Task!$A$5:$A$404,$A39,Task!$C$5:$C$404,L$3,Task!$K$5:$K$404,"Không áp dụng"))=0,"–",IF(COUNTIFS(Task!$A$5:$A$404,$A39,Task!$C$5:$C$404,L$3,Task!$K$5:$K$404,"Hoàn thành")=(COUNTIFS(Task!$A$5:$A$404,$A39,Task!$C$5:$C$404,L$3)-COUNTIFS(Task!$A$5:$A$404,$A39,Task!$C$5:$C$404,L$3,Task!$K$5:$K$404,"Không áp dụng")),"Xong",IF(COUNTIFS(Task!$A$5:$A$404,$A39,Task!$C$5:$C$404,L$3,Task!$K$5:$K$404,"Bị chặn")&gt;0,"Bị chặn",IF(COUNTIFS(Task!$A$5:$A$404,$A39,Task!$C$5:$C$404,L$3,Task!$K$5:$K$404,"Hoàn thành")+COUNTIFS(Task!$A$5:$A$404,$A39,Task!$C$5:$C$404,L$3,Task!$K$5:$K$404,"Đang làm")&gt;0,"Đang làm","Chưa")))))</f>
        <v/>
      </c>
      <c r="M39" s="14" t="str">
        <f aca="false">IF($A39="","",IF((COUNTIFS(Task!$A$5:$A$404,$A39,Task!$C$5:$C$404,M$3)-COUNTIFS(Task!$A$5:$A$404,$A39,Task!$C$5:$C$404,M$3,Task!$K$5:$K$404,"Không áp dụng"))=0,"–",IF(COUNTIFS(Task!$A$5:$A$404,$A39,Task!$C$5:$C$404,M$3,Task!$K$5:$K$404,"Hoàn thành")=(COUNTIFS(Task!$A$5:$A$404,$A39,Task!$C$5:$C$404,M$3)-COUNTIFS(Task!$A$5:$A$404,$A39,Task!$C$5:$C$404,M$3,Task!$K$5:$K$404,"Không áp dụng")),"Xong",IF(COUNTIFS(Task!$A$5:$A$404,$A39,Task!$C$5:$C$404,M$3,Task!$K$5:$K$404,"Bị chặn")&gt;0,"Bị chặn",IF(COUNTIFS(Task!$A$5:$A$404,$A39,Task!$C$5:$C$404,M$3,Task!$K$5:$K$404,"Hoàn thành")+COUNTIFS(Task!$A$5:$A$404,$A39,Task!$C$5:$C$404,M$3,Task!$K$5:$K$404,"Đang làm")&gt;0,"Đang làm","Chưa")))))</f>
        <v/>
      </c>
      <c r="N39" s="14" t="str">
        <f aca="false">IF($A39="","",IF(F39&lt;&gt;"Xong",1,IF(G39&lt;&gt;"Xong",2,IF(H39&lt;&gt;"Xong",3,IF(I39&lt;&gt;"Xong",4,IF(J39&lt;&gt;"Xong",5,IF(K39&lt;&gt;"Xong",6,IF(L39&lt;&gt;"Xong",7,IF(M39&lt;&gt;"Xong",8,9)))))))))</f>
        <v/>
      </c>
      <c r="O39" s="14" t="str">
        <f aca="false">IF($A39="","",IF($N39=9,"Hoàn tất",INDEX('Quy trình'!$B$5:$B$12,$N39)))</f>
        <v/>
      </c>
      <c r="P39" s="14" t="str">
        <f aca="false">IF($A39="","",COUNTIFS(Task!$A$5:$A$404,$A39)-COUNTIFS(Task!$A$5:$A$404,$A39,Task!$K$5:$K$404,"Không áp dụng"))</f>
        <v/>
      </c>
      <c r="Q39" s="14" t="str">
        <f aca="false">IF($A39="","",COUNTIFS(Task!$A$5:$A$404,$A39,Task!$K$5:$K$404,"Hoàn thành"))</f>
        <v/>
      </c>
      <c r="R39" s="16" t="str">
        <f aca="false">IF($A39="","",Q39/MAX(P39,COUNTA('Mẫu task'!$A$5:$A$64)))</f>
        <v/>
      </c>
      <c r="S39" s="14" t="str">
        <f aca="false">IF($A39="","",SUMIFS(Task!$O$5:$O$404,Task!$A$5:$A$404,$A39))</f>
        <v/>
      </c>
      <c r="T39" s="14" t="str">
        <f aca="false">IF($A39="","",COUNTIFS(Task!$A$5:$A$404,$A39,Task!$K$5:$K$404,"Bị chặn"))</f>
        <v/>
      </c>
      <c r="U39" s="14" t="str">
        <f aca="false">IF($A39="","",IF(P39=0,"Chưa có task",IF(T39&gt;0,"Bị chặn",IF(S39&gt;0,"Có việc trễ",IF(N39=9,"Hoàn tất","Đúng tiến độ")))))</f>
        <v/>
      </c>
      <c r="V39" s="14" t="str">
        <f aca="false">IF($A39="","",IFERROR(INDEX('Chấm điểm'!$D$16:$M$16,MATCH($A39,'Chấm điểm'!$D$4:$M$4,0)),""))</f>
        <v/>
      </c>
    </row>
    <row r="40" customFormat="false" ht="15" hidden="false" customHeight="false" outlineLevel="0" collapsed="false">
      <c r="A40" s="19"/>
      <c r="B40" s="19"/>
      <c r="C40" s="19"/>
      <c r="D40" s="19"/>
      <c r="E40" s="20"/>
      <c r="F40" s="14" t="str">
        <f aca="false">IF($A40="","",IF((COUNTIFS(Task!$A$5:$A$404,$A40,Task!$C$5:$C$404,F$3)-COUNTIFS(Task!$A$5:$A$404,$A40,Task!$C$5:$C$404,F$3,Task!$K$5:$K$404,"Không áp dụng"))=0,"–",IF(COUNTIFS(Task!$A$5:$A$404,$A40,Task!$C$5:$C$404,F$3,Task!$K$5:$K$404,"Hoàn thành")=(COUNTIFS(Task!$A$5:$A$404,$A40,Task!$C$5:$C$404,F$3)-COUNTIFS(Task!$A$5:$A$404,$A40,Task!$C$5:$C$404,F$3,Task!$K$5:$K$404,"Không áp dụng")),"Xong",IF(COUNTIFS(Task!$A$5:$A$404,$A40,Task!$C$5:$C$404,F$3,Task!$K$5:$K$404,"Bị chặn")&gt;0,"Bị chặn",IF(COUNTIFS(Task!$A$5:$A$404,$A40,Task!$C$5:$C$404,F$3,Task!$K$5:$K$404,"Hoàn thành")+COUNTIFS(Task!$A$5:$A$404,$A40,Task!$C$5:$C$404,F$3,Task!$K$5:$K$404,"Đang làm")&gt;0,"Đang làm","Chưa")))))</f>
        <v/>
      </c>
      <c r="G40" s="14" t="str">
        <f aca="false">IF($A40="","",IF((COUNTIFS(Task!$A$5:$A$404,$A40,Task!$C$5:$C$404,G$3)-COUNTIFS(Task!$A$5:$A$404,$A40,Task!$C$5:$C$404,G$3,Task!$K$5:$K$404,"Không áp dụng"))=0,"–",IF(COUNTIFS(Task!$A$5:$A$404,$A40,Task!$C$5:$C$404,G$3,Task!$K$5:$K$404,"Hoàn thành")=(COUNTIFS(Task!$A$5:$A$404,$A40,Task!$C$5:$C$404,G$3)-COUNTIFS(Task!$A$5:$A$404,$A40,Task!$C$5:$C$404,G$3,Task!$K$5:$K$404,"Không áp dụng")),"Xong",IF(COUNTIFS(Task!$A$5:$A$404,$A40,Task!$C$5:$C$404,G$3,Task!$K$5:$K$404,"Bị chặn")&gt;0,"Bị chặn",IF(COUNTIFS(Task!$A$5:$A$404,$A40,Task!$C$5:$C$404,G$3,Task!$K$5:$K$404,"Hoàn thành")+COUNTIFS(Task!$A$5:$A$404,$A40,Task!$C$5:$C$404,G$3,Task!$K$5:$K$404,"Đang làm")&gt;0,"Đang làm","Chưa")))))</f>
        <v/>
      </c>
      <c r="H40" s="14" t="str">
        <f aca="false">IF($A40="","",IF((COUNTIFS(Task!$A$5:$A$404,$A40,Task!$C$5:$C$404,H$3)-COUNTIFS(Task!$A$5:$A$404,$A40,Task!$C$5:$C$404,H$3,Task!$K$5:$K$404,"Không áp dụng"))=0,"–",IF(COUNTIFS(Task!$A$5:$A$404,$A40,Task!$C$5:$C$404,H$3,Task!$K$5:$K$404,"Hoàn thành")=(COUNTIFS(Task!$A$5:$A$404,$A40,Task!$C$5:$C$404,H$3)-COUNTIFS(Task!$A$5:$A$404,$A40,Task!$C$5:$C$404,H$3,Task!$K$5:$K$404,"Không áp dụng")),"Xong",IF(COUNTIFS(Task!$A$5:$A$404,$A40,Task!$C$5:$C$404,H$3,Task!$K$5:$K$404,"Bị chặn")&gt;0,"Bị chặn",IF(COUNTIFS(Task!$A$5:$A$404,$A40,Task!$C$5:$C$404,H$3,Task!$K$5:$K$404,"Hoàn thành")+COUNTIFS(Task!$A$5:$A$404,$A40,Task!$C$5:$C$404,H$3,Task!$K$5:$K$404,"Đang làm")&gt;0,"Đang làm","Chưa")))))</f>
        <v/>
      </c>
      <c r="I40" s="14" t="str">
        <f aca="false">IF($A40="","",IF((COUNTIFS(Task!$A$5:$A$404,$A40,Task!$C$5:$C$404,I$3)-COUNTIFS(Task!$A$5:$A$404,$A40,Task!$C$5:$C$404,I$3,Task!$K$5:$K$404,"Không áp dụng"))=0,"–",IF(COUNTIFS(Task!$A$5:$A$404,$A40,Task!$C$5:$C$404,I$3,Task!$K$5:$K$404,"Hoàn thành")=(COUNTIFS(Task!$A$5:$A$404,$A40,Task!$C$5:$C$404,I$3)-COUNTIFS(Task!$A$5:$A$404,$A40,Task!$C$5:$C$404,I$3,Task!$K$5:$K$404,"Không áp dụng")),"Xong",IF(COUNTIFS(Task!$A$5:$A$404,$A40,Task!$C$5:$C$404,I$3,Task!$K$5:$K$404,"Bị chặn")&gt;0,"Bị chặn",IF(COUNTIFS(Task!$A$5:$A$404,$A40,Task!$C$5:$C$404,I$3,Task!$K$5:$K$404,"Hoàn thành")+COUNTIFS(Task!$A$5:$A$404,$A40,Task!$C$5:$C$404,I$3,Task!$K$5:$K$404,"Đang làm")&gt;0,"Đang làm","Chưa")))))</f>
        <v/>
      </c>
      <c r="J40" s="14" t="str">
        <f aca="false">IF($A40="","",IF((COUNTIFS(Task!$A$5:$A$404,$A40,Task!$C$5:$C$404,J$3)-COUNTIFS(Task!$A$5:$A$404,$A40,Task!$C$5:$C$404,J$3,Task!$K$5:$K$404,"Không áp dụng"))=0,"–",IF(COUNTIFS(Task!$A$5:$A$404,$A40,Task!$C$5:$C$404,J$3,Task!$K$5:$K$404,"Hoàn thành")=(COUNTIFS(Task!$A$5:$A$404,$A40,Task!$C$5:$C$404,J$3)-COUNTIFS(Task!$A$5:$A$404,$A40,Task!$C$5:$C$404,J$3,Task!$K$5:$K$404,"Không áp dụng")),"Xong",IF(COUNTIFS(Task!$A$5:$A$404,$A40,Task!$C$5:$C$404,J$3,Task!$K$5:$K$404,"Bị chặn")&gt;0,"Bị chặn",IF(COUNTIFS(Task!$A$5:$A$404,$A40,Task!$C$5:$C$404,J$3,Task!$K$5:$K$404,"Hoàn thành")+COUNTIFS(Task!$A$5:$A$404,$A40,Task!$C$5:$C$404,J$3,Task!$K$5:$K$404,"Đang làm")&gt;0,"Đang làm","Chưa")))))</f>
        <v/>
      </c>
      <c r="K40" s="14" t="str">
        <f aca="false">IF($A40="","",IF((COUNTIFS(Task!$A$5:$A$404,$A40,Task!$C$5:$C$404,K$3)-COUNTIFS(Task!$A$5:$A$404,$A40,Task!$C$5:$C$404,K$3,Task!$K$5:$K$404,"Không áp dụng"))=0,"–",IF(COUNTIFS(Task!$A$5:$A$404,$A40,Task!$C$5:$C$404,K$3,Task!$K$5:$K$404,"Hoàn thành")=(COUNTIFS(Task!$A$5:$A$404,$A40,Task!$C$5:$C$404,K$3)-COUNTIFS(Task!$A$5:$A$404,$A40,Task!$C$5:$C$404,K$3,Task!$K$5:$K$404,"Không áp dụng")),"Xong",IF(COUNTIFS(Task!$A$5:$A$404,$A40,Task!$C$5:$C$404,K$3,Task!$K$5:$K$404,"Bị chặn")&gt;0,"Bị chặn",IF(COUNTIFS(Task!$A$5:$A$404,$A40,Task!$C$5:$C$404,K$3,Task!$K$5:$K$404,"Hoàn thành")+COUNTIFS(Task!$A$5:$A$404,$A40,Task!$C$5:$C$404,K$3,Task!$K$5:$K$404,"Đang làm")&gt;0,"Đang làm","Chưa")))))</f>
        <v/>
      </c>
      <c r="L40" s="14" t="str">
        <f aca="false">IF($A40="","",IF((COUNTIFS(Task!$A$5:$A$404,$A40,Task!$C$5:$C$404,L$3)-COUNTIFS(Task!$A$5:$A$404,$A40,Task!$C$5:$C$404,L$3,Task!$K$5:$K$404,"Không áp dụng"))=0,"–",IF(COUNTIFS(Task!$A$5:$A$404,$A40,Task!$C$5:$C$404,L$3,Task!$K$5:$K$404,"Hoàn thành")=(COUNTIFS(Task!$A$5:$A$404,$A40,Task!$C$5:$C$404,L$3)-COUNTIFS(Task!$A$5:$A$404,$A40,Task!$C$5:$C$404,L$3,Task!$K$5:$K$404,"Không áp dụng")),"Xong",IF(COUNTIFS(Task!$A$5:$A$404,$A40,Task!$C$5:$C$404,L$3,Task!$K$5:$K$404,"Bị chặn")&gt;0,"Bị chặn",IF(COUNTIFS(Task!$A$5:$A$404,$A40,Task!$C$5:$C$404,L$3,Task!$K$5:$K$404,"Hoàn thành")+COUNTIFS(Task!$A$5:$A$404,$A40,Task!$C$5:$C$404,L$3,Task!$K$5:$K$404,"Đang làm")&gt;0,"Đang làm","Chưa")))))</f>
        <v/>
      </c>
      <c r="M40" s="14" t="str">
        <f aca="false">IF($A40="","",IF((COUNTIFS(Task!$A$5:$A$404,$A40,Task!$C$5:$C$404,M$3)-COUNTIFS(Task!$A$5:$A$404,$A40,Task!$C$5:$C$404,M$3,Task!$K$5:$K$404,"Không áp dụng"))=0,"–",IF(COUNTIFS(Task!$A$5:$A$404,$A40,Task!$C$5:$C$404,M$3,Task!$K$5:$K$404,"Hoàn thành")=(COUNTIFS(Task!$A$5:$A$404,$A40,Task!$C$5:$C$404,M$3)-COUNTIFS(Task!$A$5:$A$404,$A40,Task!$C$5:$C$404,M$3,Task!$K$5:$K$404,"Không áp dụng")),"Xong",IF(COUNTIFS(Task!$A$5:$A$404,$A40,Task!$C$5:$C$404,M$3,Task!$K$5:$K$404,"Bị chặn")&gt;0,"Bị chặn",IF(COUNTIFS(Task!$A$5:$A$404,$A40,Task!$C$5:$C$404,M$3,Task!$K$5:$K$404,"Hoàn thành")+COUNTIFS(Task!$A$5:$A$404,$A40,Task!$C$5:$C$404,M$3,Task!$K$5:$K$404,"Đang làm")&gt;0,"Đang làm","Chưa")))))</f>
        <v/>
      </c>
      <c r="N40" s="14" t="str">
        <f aca="false">IF($A40="","",IF(F40&lt;&gt;"Xong",1,IF(G40&lt;&gt;"Xong",2,IF(H40&lt;&gt;"Xong",3,IF(I40&lt;&gt;"Xong",4,IF(J40&lt;&gt;"Xong",5,IF(K40&lt;&gt;"Xong",6,IF(L40&lt;&gt;"Xong",7,IF(M40&lt;&gt;"Xong",8,9)))))))))</f>
        <v/>
      </c>
      <c r="O40" s="14" t="str">
        <f aca="false">IF($A40="","",IF($N40=9,"Hoàn tất",INDEX('Quy trình'!$B$5:$B$12,$N40)))</f>
        <v/>
      </c>
      <c r="P40" s="14" t="str">
        <f aca="false">IF($A40="","",COUNTIFS(Task!$A$5:$A$404,$A40)-COUNTIFS(Task!$A$5:$A$404,$A40,Task!$K$5:$K$404,"Không áp dụng"))</f>
        <v/>
      </c>
      <c r="Q40" s="14" t="str">
        <f aca="false">IF($A40="","",COUNTIFS(Task!$A$5:$A$404,$A40,Task!$K$5:$K$404,"Hoàn thành"))</f>
        <v/>
      </c>
      <c r="R40" s="16" t="str">
        <f aca="false">IF($A40="","",Q40/MAX(P40,COUNTA('Mẫu task'!$A$5:$A$64)))</f>
        <v/>
      </c>
      <c r="S40" s="14" t="str">
        <f aca="false">IF($A40="","",SUMIFS(Task!$O$5:$O$404,Task!$A$5:$A$404,$A40))</f>
        <v/>
      </c>
      <c r="T40" s="14" t="str">
        <f aca="false">IF($A40="","",COUNTIFS(Task!$A$5:$A$404,$A40,Task!$K$5:$K$404,"Bị chặn"))</f>
        <v/>
      </c>
      <c r="U40" s="14" t="str">
        <f aca="false">IF($A40="","",IF(P40=0,"Chưa có task",IF(T40&gt;0,"Bị chặn",IF(S40&gt;0,"Có việc trễ",IF(N40=9,"Hoàn tất","Đúng tiến độ")))))</f>
        <v/>
      </c>
      <c r="V40" s="14" t="str">
        <f aca="false">IF($A40="","",IFERROR(INDEX('Chấm điểm'!$D$16:$M$16,MATCH($A40,'Chấm điểm'!$D$4:$M$4,0)),""))</f>
        <v/>
      </c>
    </row>
    <row r="41" customFormat="false" ht="15" hidden="false" customHeight="false" outlineLevel="0" collapsed="false">
      <c r="A41" s="19"/>
      <c r="B41" s="19"/>
      <c r="C41" s="19"/>
      <c r="D41" s="19"/>
      <c r="E41" s="20"/>
      <c r="F41" s="14" t="str">
        <f aca="false">IF($A41="","",IF((COUNTIFS(Task!$A$5:$A$404,$A41,Task!$C$5:$C$404,F$3)-COUNTIFS(Task!$A$5:$A$404,$A41,Task!$C$5:$C$404,F$3,Task!$K$5:$K$404,"Không áp dụng"))=0,"–",IF(COUNTIFS(Task!$A$5:$A$404,$A41,Task!$C$5:$C$404,F$3,Task!$K$5:$K$404,"Hoàn thành")=(COUNTIFS(Task!$A$5:$A$404,$A41,Task!$C$5:$C$404,F$3)-COUNTIFS(Task!$A$5:$A$404,$A41,Task!$C$5:$C$404,F$3,Task!$K$5:$K$404,"Không áp dụng")),"Xong",IF(COUNTIFS(Task!$A$5:$A$404,$A41,Task!$C$5:$C$404,F$3,Task!$K$5:$K$404,"Bị chặn")&gt;0,"Bị chặn",IF(COUNTIFS(Task!$A$5:$A$404,$A41,Task!$C$5:$C$404,F$3,Task!$K$5:$K$404,"Hoàn thành")+COUNTIFS(Task!$A$5:$A$404,$A41,Task!$C$5:$C$404,F$3,Task!$K$5:$K$404,"Đang làm")&gt;0,"Đang làm","Chưa")))))</f>
        <v/>
      </c>
      <c r="G41" s="14" t="str">
        <f aca="false">IF($A41="","",IF((COUNTIFS(Task!$A$5:$A$404,$A41,Task!$C$5:$C$404,G$3)-COUNTIFS(Task!$A$5:$A$404,$A41,Task!$C$5:$C$404,G$3,Task!$K$5:$K$404,"Không áp dụng"))=0,"–",IF(COUNTIFS(Task!$A$5:$A$404,$A41,Task!$C$5:$C$404,G$3,Task!$K$5:$K$404,"Hoàn thành")=(COUNTIFS(Task!$A$5:$A$404,$A41,Task!$C$5:$C$404,G$3)-COUNTIFS(Task!$A$5:$A$404,$A41,Task!$C$5:$C$404,G$3,Task!$K$5:$K$404,"Không áp dụng")),"Xong",IF(COUNTIFS(Task!$A$5:$A$404,$A41,Task!$C$5:$C$404,G$3,Task!$K$5:$K$404,"Bị chặn")&gt;0,"Bị chặn",IF(COUNTIFS(Task!$A$5:$A$404,$A41,Task!$C$5:$C$404,G$3,Task!$K$5:$K$404,"Hoàn thành")+COUNTIFS(Task!$A$5:$A$404,$A41,Task!$C$5:$C$404,G$3,Task!$K$5:$K$404,"Đang làm")&gt;0,"Đang làm","Chưa")))))</f>
        <v/>
      </c>
      <c r="H41" s="14" t="str">
        <f aca="false">IF($A41="","",IF((COUNTIFS(Task!$A$5:$A$404,$A41,Task!$C$5:$C$404,H$3)-COUNTIFS(Task!$A$5:$A$404,$A41,Task!$C$5:$C$404,H$3,Task!$K$5:$K$404,"Không áp dụng"))=0,"–",IF(COUNTIFS(Task!$A$5:$A$404,$A41,Task!$C$5:$C$404,H$3,Task!$K$5:$K$404,"Hoàn thành")=(COUNTIFS(Task!$A$5:$A$404,$A41,Task!$C$5:$C$404,H$3)-COUNTIFS(Task!$A$5:$A$404,$A41,Task!$C$5:$C$404,H$3,Task!$K$5:$K$404,"Không áp dụng")),"Xong",IF(COUNTIFS(Task!$A$5:$A$404,$A41,Task!$C$5:$C$404,H$3,Task!$K$5:$K$404,"Bị chặn")&gt;0,"Bị chặn",IF(COUNTIFS(Task!$A$5:$A$404,$A41,Task!$C$5:$C$404,H$3,Task!$K$5:$K$404,"Hoàn thành")+COUNTIFS(Task!$A$5:$A$404,$A41,Task!$C$5:$C$404,H$3,Task!$K$5:$K$404,"Đang làm")&gt;0,"Đang làm","Chưa")))))</f>
        <v/>
      </c>
      <c r="I41" s="14" t="str">
        <f aca="false">IF($A41="","",IF((COUNTIFS(Task!$A$5:$A$404,$A41,Task!$C$5:$C$404,I$3)-COUNTIFS(Task!$A$5:$A$404,$A41,Task!$C$5:$C$404,I$3,Task!$K$5:$K$404,"Không áp dụng"))=0,"–",IF(COUNTIFS(Task!$A$5:$A$404,$A41,Task!$C$5:$C$404,I$3,Task!$K$5:$K$404,"Hoàn thành")=(COUNTIFS(Task!$A$5:$A$404,$A41,Task!$C$5:$C$404,I$3)-COUNTIFS(Task!$A$5:$A$404,$A41,Task!$C$5:$C$404,I$3,Task!$K$5:$K$404,"Không áp dụng")),"Xong",IF(COUNTIFS(Task!$A$5:$A$404,$A41,Task!$C$5:$C$404,I$3,Task!$K$5:$K$404,"Bị chặn")&gt;0,"Bị chặn",IF(COUNTIFS(Task!$A$5:$A$404,$A41,Task!$C$5:$C$404,I$3,Task!$K$5:$K$404,"Hoàn thành")+COUNTIFS(Task!$A$5:$A$404,$A41,Task!$C$5:$C$404,I$3,Task!$K$5:$K$404,"Đang làm")&gt;0,"Đang làm","Chưa")))))</f>
        <v/>
      </c>
      <c r="J41" s="14" t="str">
        <f aca="false">IF($A41="","",IF((COUNTIFS(Task!$A$5:$A$404,$A41,Task!$C$5:$C$404,J$3)-COUNTIFS(Task!$A$5:$A$404,$A41,Task!$C$5:$C$404,J$3,Task!$K$5:$K$404,"Không áp dụng"))=0,"–",IF(COUNTIFS(Task!$A$5:$A$404,$A41,Task!$C$5:$C$404,J$3,Task!$K$5:$K$404,"Hoàn thành")=(COUNTIFS(Task!$A$5:$A$404,$A41,Task!$C$5:$C$404,J$3)-COUNTIFS(Task!$A$5:$A$404,$A41,Task!$C$5:$C$404,J$3,Task!$K$5:$K$404,"Không áp dụng")),"Xong",IF(COUNTIFS(Task!$A$5:$A$404,$A41,Task!$C$5:$C$404,J$3,Task!$K$5:$K$404,"Bị chặn")&gt;0,"Bị chặn",IF(COUNTIFS(Task!$A$5:$A$404,$A41,Task!$C$5:$C$404,J$3,Task!$K$5:$K$404,"Hoàn thành")+COUNTIFS(Task!$A$5:$A$404,$A41,Task!$C$5:$C$404,J$3,Task!$K$5:$K$404,"Đang làm")&gt;0,"Đang làm","Chưa")))))</f>
        <v/>
      </c>
      <c r="K41" s="14" t="str">
        <f aca="false">IF($A41="","",IF((COUNTIFS(Task!$A$5:$A$404,$A41,Task!$C$5:$C$404,K$3)-COUNTIFS(Task!$A$5:$A$404,$A41,Task!$C$5:$C$404,K$3,Task!$K$5:$K$404,"Không áp dụng"))=0,"–",IF(COUNTIFS(Task!$A$5:$A$404,$A41,Task!$C$5:$C$404,K$3,Task!$K$5:$K$404,"Hoàn thành")=(COUNTIFS(Task!$A$5:$A$404,$A41,Task!$C$5:$C$404,K$3)-COUNTIFS(Task!$A$5:$A$404,$A41,Task!$C$5:$C$404,K$3,Task!$K$5:$K$404,"Không áp dụng")),"Xong",IF(COUNTIFS(Task!$A$5:$A$404,$A41,Task!$C$5:$C$404,K$3,Task!$K$5:$K$404,"Bị chặn")&gt;0,"Bị chặn",IF(COUNTIFS(Task!$A$5:$A$404,$A41,Task!$C$5:$C$404,K$3,Task!$K$5:$K$404,"Hoàn thành")+COUNTIFS(Task!$A$5:$A$404,$A41,Task!$C$5:$C$404,K$3,Task!$K$5:$K$404,"Đang làm")&gt;0,"Đang làm","Chưa")))))</f>
        <v/>
      </c>
      <c r="L41" s="14" t="str">
        <f aca="false">IF($A41="","",IF((COUNTIFS(Task!$A$5:$A$404,$A41,Task!$C$5:$C$404,L$3)-COUNTIFS(Task!$A$5:$A$404,$A41,Task!$C$5:$C$404,L$3,Task!$K$5:$K$404,"Không áp dụng"))=0,"–",IF(COUNTIFS(Task!$A$5:$A$404,$A41,Task!$C$5:$C$404,L$3,Task!$K$5:$K$404,"Hoàn thành")=(COUNTIFS(Task!$A$5:$A$404,$A41,Task!$C$5:$C$404,L$3)-COUNTIFS(Task!$A$5:$A$404,$A41,Task!$C$5:$C$404,L$3,Task!$K$5:$K$404,"Không áp dụng")),"Xong",IF(COUNTIFS(Task!$A$5:$A$404,$A41,Task!$C$5:$C$404,L$3,Task!$K$5:$K$404,"Bị chặn")&gt;0,"Bị chặn",IF(COUNTIFS(Task!$A$5:$A$404,$A41,Task!$C$5:$C$404,L$3,Task!$K$5:$K$404,"Hoàn thành")+COUNTIFS(Task!$A$5:$A$404,$A41,Task!$C$5:$C$404,L$3,Task!$K$5:$K$404,"Đang làm")&gt;0,"Đang làm","Chưa")))))</f>
        <v/>
      </c>
      <c r="M41" s="14" t="str">
        <f aca="false">IF($A41="","",IF((COUNTIFS(Task!$A$5:$A$404,$A41,Task!$C$5:$C$404,M$3)-COUNTIFS(Task!$A$5:$A$404,$A41,Task!$C$5:$C$404,M$3,Task!$K$5:$K$404,"Không áp dụng"))=0,"–",IF(COUNTIFS(Task!$A$5:$A$404,$A41,Task!$C$5:$C$404,M$3,Task!$K$5:$K$404,"Hoàn thành")=(COUNTIFS(Task!$A$5:$A$404,$A41,Task!$C$5:$C$404,M$3)-COUNTIFS(Task!$A$5:$A$404,$A41,Task!$C$5:$C$404,M$3,Task!$K$5:$K$404,"Không áp dụng")),"Xong",IF(COUNTIFS(Task!$A$5:$A$404,$A41,Task!$C$5:$C$404,M$3,Task!$K$5:$K$404,"Bị chặn")&gt;0,"Bị chặn",IF(COUNTIFS(Task!$A$5:$A$404,$A41,Task!$C$5:$C$404,M$3,Task!$K$5:$K$404,"Hoàn thành")+COUNTIFS(Task!$A$5:$A$404,$A41,Task!$C$5:$C$404,M$3,Task!$K$5:$K$404,"Đang làm")&gt;0,"Đang làm","Chưa")))))</f>
        <v/>
      </c>
      <c r="N41" s="14" t="str">
        <f aca="false">IF($A41="","",IF(F41&lt;&gt;"Xong",1,IF(G41&lt;&gt;"Xong",2,IF(H41&lt;&gt;"Xong",3,IF(I41&lt;&gt;"Xong",4,IF(J41&lt;&gt;"Xong",5,IF(K41&lt;&gt;"Xong",6,IF(L41&lt;&gt;"Xong",7,IF(M41&lt;&gt;"Xong",8,9)))))))))</f>
        <v/>
      </c>
      <c r="O41" s="14" t="str">
        <f aca="false">IF($A41="","",IF($N41=9,"Hoàn tất",INDEX('Quy trình'!$B$5:$B$12,$N41)))</f>
        <v/>
      </c>
      <c r="P41" s="14" t="str">
        <f aca="false">IF($A41="","",COUNTIFS(Task!$A$5:$A$404,$A41)-COUNTIFS(Task!$A$5:$A$404,$A41,Task!$K$5:$K$404,"Không áp dụng"))</f>
        <v/>
      </c>
      <c r="Q41" s="14" t="str">
        <f aca="false">IF($A41="","",COUNTIFS(Task!$A$5:$A$404,$A41,Task!$K$5:$K$404,"Hoàn thành"))</f>
        <v/>
      </c>
      <c r="R41" s="16" t="str">
        <f aca="false">IF($A41="","",Q41/MAX(P41,COUNTA('Mẫu task'!$A$5:$A$64)))</f>
        <v/>
      </c>
      <c r="S41" s="14" t="str">
        <f aca="false">IF($A41="","",SUMIFS(Task!$O$5:$O$404,Task!$A$5:$A$404,$A41))</f>
        <v/>
      </c>
      <c r="T41" s="14" t="str">
        <f aca="false">IF($A41="","",COUNTIFS(Task!$A$5:$A$404,$A41,Task!$K$5:$K$404,"Bị chặn"))</f>
        <v/>
      </c>
      <c r="U41" s="14" t="str">
        <f aca="false">IF($A41="","",IF(P41=0,"Chưa có task",IF(T41&gt;0,"Bị chặn",IF(S41&gt;0,"Có việc trễ",IF(N41=9,"Hoàn tất","Đúng tiến độ")))))</f>
        <v/>
      </c>
      <c r="V41" s="14" t="str">
        <f aca="false">IF($A41="","",IFERROR(INDEX('Chấm điểm'!$D$16:$M$16,MATCH($A41,'Chấm điểm'!$D$4:$M$4,0)),""))</f>
        <v/>
      </c>
    </row>
    <row r="42" customFormat="false" ht="15" hidden="false" customHeight="false" outlineLevel="0" collapsed="false">
      <c r="A42" s="19"/>
      <c r="B42" s="19"/>
      <c r="C42" s="19"/>
      <c r="D42" s="19"/>
      <c r="E42" s="20"/>
      <c r="F42" s="14" t="str">
        <f aca="false">IF($A42="","",IF((COUNTIFS(Task!$A$5:$A$404,$A42,Task!$C$5:$C$404,F$3)-COUNTIFS(Task!$A$5:$A$404,$A42,Task!$C$5:$C$404,F$3,Task!$K$5:$K$404,"Không áp dụng"))=0,"–",IF(COUNTIFS(Task!$A$5:$A$404,$A42,Task!$C$5:$C$404,F$3,Task!$K$5:$K$404,"Hoàn thành")=(COUNTIFS(Task!$A$5:$A$404,$A42,Task!$C$5:$C$404,F$3)-COUNTIFS(Task!$A$5:$A$404,$A42,Task!$C$5:$C$404,F$3,Task!$K$5:$K$404,"Không áp dụng")),"Xong",IF(COUNTIFS(Task!$A$5:$A$404,$A42,Task!$C$5:$C$404,F$3,Task!$K$5:$K$404,"Bị chặn")&gt;0,"Bị chặn",IF(COUNTIFS(Task!$A$5:$A$404,$A42,Task!$C$5:$C$404,F$3,Task!$K$5:$K$404,"Hoàn thành")+COUNTIFS(Task!$A$5:$A$404,$A42,Task!$C$5:$C$404,F$3,Task!$K$5:$K$404,"Đang làm")&gt;0,"Đang làm","Chưa")))))</f>
        <v/>
      </c>
      <c r="G42" s="14" t="str">
        <f aca="false">IF($A42="","",IF((COUNTIFS(Task!$A$5:$A$404,$A42,Task!$C$5:$C$404,G$3)-COUNTIFS(Task!$A$5:$A$404,$A42,Task!$C$5:$C$404,G$3,Task!$K$5:$K$404,"Không áp dụng"))=0,"–",IF(COUNTIFS(Task!$A$5:$A$404,$A42,Task!$C$5:$C$404,G$3,Task!$K$5:$K$404,"Hoàn thành")=(COUNTIFS(Task!$A$5:$A$404,$A42,Task!$C$5:$C$404,G$3)-COUNTIFS(Task!$A$5:$A$404,$A42,Task!$C$5:$C$404,G$3,Task!$K$5:$K$404,"Không áp dụng")),"Xong",IF(COUNTIFS(Task!$A$5:$A$404,$A42,Task!$C$5:$C$404,G$3,Task!$K$5:$K$404,"Bị chặn")&gt;0,"Bị chặn",IF(COUNTIFS(Task!$A$5:$A$404,$A42,Task!$C$5:$C$404,G$3,Task!$K$5:$K$404,"Hoàn thành")+COUNTIFS(Task!$A$5:$A$404,$A42,Task!$C$5:$C$404,G$3,Task!$K$5:$K$404,"Đang làm")&gt;0,"Đang làm","Chưa")))))</f>
        <v/>
      </c>
      <c r="H42" s="14" t="str">
        <f aca="false">IF($A42="","",IF((COUNTIFS(Task!$A$5:$A$404,$A42,Task!$C$5:$C$404,H$3)-COUNTIFS(Task!$A$5:$A$404,$A42,Task!$C$5:$C$404,H$3,Task!$K$5:$K$404,"Không áp dụng"))=0,"–",IF(COUNTIFS(Task!$A$5:$A$404,$A42,Task!$C$5:$C$404,H$3,Task!$K$5:$K$404,"Hoàn thành")=(COUNTIFS(Task!$A$5:$A$404,$A42,Task!$C$5:$C$404,H$3)-COUNTIFS(Task!$A$5:$A$404,$A42,Task!$C$5:$C$404,H$3,Task!$K$5:$K$404,"Không áp dụng")),"Xong",IF(COUNTIFS(Task!$A$5:$A$404,$A42,Task!$C$5:$C$404,H$3,Task!$K$5:$K$404,"Bị chặn")&gt;0,"Bị chặn",IF(COUNTIFS(Task!$A$5:$A$404,$A42,Task!$C$5:$C$404,H$3,Task!$K$5:$K$404,"Hoàn thành")+COUNTIFS(Task!$A$5:$A$404,$A42,Task!$C$5:$C$404,H$3,Task!$K$5:$K$404,"Đang làm")&gt;0,"Đang làm","Chưa")))))</f>
        <v/>
      </c>
      <c r="I42" s="14" t="str">
        <f aca="false">IF($A42="","",IF((COUNTIFS(Task!$A$5:$A$404,$A42,Task!$C$5:$C$404,I$3)-COUNTIFS(Task!$A$5:$A$404,$A42,Task!$C$5:$C$404,I$3,Task!$K$5:$K$404,"Không áp dụng"))=0,"–",IF(COUNTIFS(Task!$A$5:$A$404,$A42,Task!$C$5:$C$404,I$3,Task!$K$5:$K$404,"Hoàn thành")=(COUNTIFS(Task!$A$5:$A$404,$A42,Task!$C$5:$C$404,I$3)-COUNTIFS(Task!$A$5:$A$404,$A42,Task!$C$5:$C$404,I$3,Task!$K$5:$K$404,"Không áp dụng")),"Xong",IF(COUNTIFS(Task!$A$5:$A$404,$A42,Task!$C$5:$C$404,I$3,Task!$K$5:$K$404,"Bị chặn")&gt;0,"Bị chặn",IF(COUNTIFS(Task!$A$5:$A$404,$A42,Task!$C$5:$C$404,I$3,Task!$K$5:$K$404,"Hoàn thành")+COUNTIFS(Task!$A$5:$A$404,$A42,Task!$C$5:$C$404,I$3,Task!$K$5:$K$404,"Đang làm")&gt;0,"Đang làm","Chưa")))))</f>
        <v/>
      </c>
      <c r="J42" s="14" t="str">
        <f aca="false">IF($A42="","",IF((COUNTIFS(Task!$A$5:$A$404,$A42,Task!$C$5:$C$404,J$3)-COUNTIFS(Task!$A$5:$A$404,$A42,Task!$C$5:$C$404,J$3,Task!$K$5:$K$404,"Không áp dụng"))=0,"–",IF(COUNTIFS(Task!$A$5:$A$404,$A42,Task!$C$5:$C$404,J$3,Task!$K$5:$K$404,"Hoàn thành")=(COUNTIFS(Task!$A$5:$A$404,$A42,Task!$C$5:$C$404,J$3)-COUNTIFS(Task!$A$5:$A$404,$A42,Task!$C$5:$C$404,J$3,Task!$K$5:$K$404,"Không áp dụng")),"Xong",IF(COUNTIFS(Task!$A$5:$A$404,$A42,Task!$C$5:$C$404,J$3,Task!$K$5:$K$404,"Bị chặn")&gt;0,"Bị chặn",IF(COUNTIFS(Task!$A$5:$A$404,$A42,Task!$C$5:$C$404,J$3,Task!$K$5:$K$404,"Hoàn thành")+COUNTIFS(Task!$A$5:$A$404,$A42,Task!$C$5:$C$404,J$3,Task!$K$5:$K$404,"Đang làm")&gt;0,"Đang làm","Chưa")))))</f>
        <v/>
      </c>
      <c r="K42" s="14" t="str">
        <f aca="false">IF($A42="","",IF((COUNTIFS(Task!$A$5:$A$404,$A42,Task!$C$5:$C$404,K$3)-COUNTIFS(Task!$A$5:$A$404,$A42,Task!$C$5:$C$404,K$3,Task!$K$5:$K$404,"Không áp dụng"))=0,"–",IF(COUNTIFS(Task!$A$5:$A$404,$A42,Task!$C$5:$C$404,K$3,Task!$K$5:$K$404,"Hoàn thành")=(COUNTIFS(Task!$A$5:$A$404,$A42,Task!$C$5:$C$404,K$3)-COUNTIFS(Task!$A$5:$A$404,$A42,Task!$C$5:$C$404,K$3,Task!$K$5:$K$404,"Không áp dụng")),"Xong",IF(COUNTIFS(Task!$A$5:$A$404,$A42,Task!$C$5:$C$404,K$3,Task!$K$5:$K$404,"Bị chặn")&gt;0,"Bị chặn",IF(COUNTIFS(Task!$A$5:$A$404,$A42,Task!$C$5:$C$404,K$3,Task!$K$5:$K$404,"Hoàn thành")+COUNTIFS(Task!$A$5:$A$404,$A42,Task!$C$5:$C$404,K$3,Task!$K$5:$K$404,"Đang làm")&gt;0,"Đang làm","Chưa")))))</f>
        <v/>
      </c>
      <c r="L42" s="14" t="str">
        <f aca="false">IF($A42="","",IF((COUNTIFS(Task!$A$5:$A$404,$A42,Task!$C$5:$C$404,L$3)-COUNTIFS(Task!$A$5:$A$404,$A42,Task!$C$5:$C$404,L$3,Task!$K$5:$K$404,"Không áp dụng"))=0,"–",IF(COUNTIFS(Task!$A$5:$A$404,$A42,Task!$C$5:$C$404,L$3,Task!$K$5:$K$404,"Hoàn thành")=(COUNTIFS(Task!$A$5:$A$404,$A42,Task!$C$5:$C$404,L$3)-COUNTIFS(Task!$A$5:$A$404,$A42,Task!$C$5:$C$404,L$3,Task!$K$5:$K$404,"Không áp dụng")),"Xong",IF(COUNTIFS(Task!$A$5:$A$404,$A42,Task!$C$5:$C$404,L$3,Task!$K$5:$K$404,"Bị chặn")&gt;0,"Bị chặn",IF(COUNTIFS(Task!$A$5:$A$404,$A42,Task!$C$5:$C$404,L$3,Task!$K$5:$K$404,"Hoàn thành")+COUNTIFS(Task!$A$5:$A$404,$A42,Task!$C$5:$C$404,L$3,Task!$K$5:$K$404,"Đang làm")&gt;0,"Đang làm","Chưa")))))</f>
        <v/>
      </c>
      <c r="M42" s="14" t="str">
        <f aca="false">IF($A42="","",IF((COUNTIFS(Task!$A$5:$A$404,$A42,Task!$C$5:$C$404,M$3)-COUNTIFS(Task!$A$5:$A$404,$A42,Task!$C$5:$C$404,M$3,Task!$K$5:$K$404,"Không áp dụng"))=0,"–",IF(COUNTIFS(Task!$A$5:$A$404,$A42,Task!$C$5:$C$404,M$3,Task!$K$5:$K$404,"Hoàn thành")=(COUNTIFS(Task!$A$5:$A$404,$A42,Task!$C$5:$C$404,M$3)-COUNTIFS(Task!$A$5:$A$404,$A42,Task!$C$5:$C$404,M$3,Task!$K$5:$K$404,"Không áp dụng")),"Xong",IF(COUNTIFS(Task!$A$5:$A$404,$A42,Task!$C$5:$C$404,M$3,Task!$K$5:$K$404,"Bị chặn")&gt;0,"Bị chặn",IF(COUNTIFS(Task!$A$5:$A$404,$A42,Task!$C$5:$C$404,M$3,Task!$K$5:$K$404,"Hoàn thành")+COUNTIFS(Task!$A$5:$A$404,$A42,Task!$C$5:$C$404,M$3,Task!$K$5:$K$404,"Đang làm")&gt;0,"Đang làm","Chưa")))))</f>
        <v/>
      </c>
      <c r="N42" s="14" t="str">
        <f aca="false">IF($A42="","",IF(F42&lt;&gt;"Xong",1,IF(G42&lt;&gt;"Xong",2,IF(H42&lt;&gt;"Xong",3,IF(I42&lt;&gt;"Xong",4,IF(J42&lt;&gt;"Xong",5,IF(K42&lt;&gt;"Xong",6,IF(L42&lt;&gt;"Xong",7,IF(M42&lt;&gt;"Xong",8,9)))))))))</f>
        <v/>
      </c>
      <c r="O42" s="14" t="str">
        <f aca="false">IF($A42="","",IF($N42=9,"Hoàn tất",INDEX('Quy trình'!$B$5:$B$12,$N42)))</f>
        <v/>
      </c>
      <c r="P42" s="14" t="str">
        <f aca="false">IF($A42="","",COUNTIFS(Task!$A$5:$A$404,$A42)-COUNTIFS(Task!$A$5:$A$404,$A42,Task!$K$5:$K$404,"Không áp dụng"))</f>
        <v/>
      </c>
      <c r="Q42" s="14" t="str">
        <f aca="false">IF($A42="","",COUNTIFS(Task!$A$5:$A$404,$A42,Task!$K$5:$K$404,"Hoàn thành"))</f>
        <v/>
      </c>
      <c r="R42" s="16" t="str">
        <f aca="false">IF($A42="","",Q42/MAX(P42,COUNTA('Mẫu task'!$A$5:$A$64)))</f>
        <v/>
      </c>
      <c r="S42" s="14" t="str">
        <f aca="false">IF($A42="","",SUMIFS(Task!$O$5:$O$404,Task!$A$5:$A$404,$A42))</f>
        <v/>
      </c>
      <c r="T42" s="14" t="str">
        <f aca="false">IF($A42="","",COUNTIFS(Task!$A$5:$A$404,$A42,Task!$K$5:$K$404,"Bị chặn"))</f>
        <v/>
      </c>
      <c r="U42" s="14" t="str">
        <f aca="false">IF($A42="","",IF(P42=0,"Chưa có task",IF(T42&gt;0,"Bị chặn",IF(S42&gt;0,"Có việc trễ",IF(N42=9,"Hoàn tất","Đúng tiến độ")))))</f>
        <v/>
      </c>
      <c r="V42" s="14" t="str">
        <f aca="false">IF($A42="","",IFERROR(INDEX('Chấm điểm'!$D$16:$M$16,MATCH($A42,'Chấm điểm'!$D$4:$M$4,0)),""))</f>
        <v/>
      </c>
    </row>
    <row r="43" customFormat="false" ht="15" hidden="false" customHeight="false" outlineLevel="0" collapsed="false">
      <c r="A43" s="19"/>
      <c r="B43" s="19"/>
      <c r="C43" s="19"/>
      <c r="D43" s="19"/>
      <c r="E43" s="20"/>
      <c r="F43" s="14" t="str">
        <f aca="false">IF($A43="","",IF((COUNTIFS(Task!$A$5:$A$404,$A43,Task!$C$5:$C$404,F$3)-COUNTIFS(Task!$A$5:$A$404,$A43,Task!$C$5:$C$404,F$3,Task!$K$5:$K$404,"Không áp dụng"))=0,"–",IF(COUNTIFS(Task!$A$5:$A$404,$A43,Task!$C$5:$C$404,F$3,Task!$K$5:$K$404,"Hoàn thành")=(COUNTIFS(Task!$A$5:$A$404,$A43,Task!$C$5:$C$404,F$3)-COUNTIFS(Task!$A$5:$A$404,$A43,Task!$C$5:$C$404,F$3,Task!$K$5:$K$404,"Không áp dụng")),"Xong",IF(COUNTIFS(Task!$A$5:$A$404,$A43,Task!$C$5:$C$404,F$3,Task!$K$5:$K$404,"Bị chặn")&gt;0,"Bị chặn",IF(COUNTIFS(Task!$A$5:$A$404,$A43,Task!$C$5:$C$404,F$3,Task!$K$5:$K$404,"Hoàn thành")+COUNTIFS(Task!$A$5:$A$404,$A43,Task!$C$5:$C$404,F$3,Task!$K$5:$K$404,"Đang làm")&gt;0,"Đang làm","Chưa")))))</f>
        <v/>
      </c>
      <c r="G43" s="14" t="str">
        <f aca="false">IF($A43="","",IF((COUNTIFS(Task!$A$5:$A$404,$A43,Task!$C$5:$C$404,G$3)-COUNTIFS(Task!$A$5:$A$404,$A43,Task!$C$5:$C$404,G$3,Task!$K$5:$K$404,"Không áp dụng"))=0,"–",IF(COUNTIFS(Task!$A$5:$A$404,$A43,Task!$C$5:$C$404,G$3,Task!$K$5:$K$404,"Hoàn thành")=(COUNTIFS(Task!$A$5:$A$404,$A43,Task!$C$5:$C$404,G$3)-COUNTIFS(Task!$A$5:$A$404,$A43,Task!$C$5:$C$404,G$3,Task!$K$5:$K$404,"Không áp dụng")),"Xong",IF(COUNTIFS(Task!$A$5:$A$404,$A43,Task!$C$5:$C$404,G$3,Task!$K$5:$K$404,"Bị chặn")&gt;0,"Bị chặn",IF(COUNTIFS(Task!$A$5:$A$404,$A43,Task!$C$5:$C$404,G$3,Task!$K$5:$K$404,"Hoàn thành")+COUNTIFS(Task!$A$5:$A$404,$A43,Task!$C$5:$C$404,G$3,Task!$K$5:$K$404,"Đang làm")&gt;0,"Đang làm","Chưa")))))</f>
        <v/>
      </c>
      <c r="H43" s="14" t="str">
        <f aca="false">IF($A43="","",IF((COUNTIFS(Task!$A$5:$A$404,$A43,Task!$C$5:$C$404,H$3)-COUNTIFS(Task!$A$5:$A$404,$A43,Task!$C$5:$C$404,H$3,Task!$K$5:$K$404,"Không áp dụng"))=0,"–",IF(COUNTIFS(Task!$A$5:$A$404,$A43,Task!$C$5:$C$404,H$3,Task!$K$5:$K$404,"Hoàn thành")=(COUNTIFS(Task!$A$5:$A$404,$A43,Task!$C$5:$C$404,H$3)-COUNTIFS(Task!$A$5:$A$404,$A43,Task!$C$5:$C$404,H$3,Task!$K$5:$K$404,"Không áp dụng")),"Xong",IF(COUNTIFS(Task!$A$5:$A$404,$A43,Task!$C$5:$C$404,H$3,Task!$K$5:$K$404,"Bị chặn")&gt;0,"Bị chặn",IF(COUNTIFS(Task!$A$5:$A$404,$A43,Task!$C$5:$C$404,H$3,Task!$K$5:$K$404,"Hoàn thành")+COUNTIFS(Task!$A$5:$A$404,$A43,Task!$C$5:$C$404,H$3,Task!$K$5:$K$404,"Đang làm")&gt;0,"Đang làm","Chưa")))))</f>
        <v/>
      </c>
      <c r="I43" s="14" t="str">
        <f aca="false">IF($A43="","",IF((COUNTIFS(Task!$A$5:$A$404,$A43,Task!$C$5:$C$404,I$3)-COUNTIFS(Task!$A$5:$A$404,$A43,Task!$C$5:$C$404,I$3,Task!$K$5:$K$404,"Không áp dụng"))=0,"–",IF(COUNTIFS(Task!$A$5:$A$404,$A43,Task!$C$5:$C$404,I$3,Task!$K$5:$K$404,"Hoàn thành")=(COUNTIFS(Task!$A$5:$A$404,$A43,Task!$C$5:$C$404,I$3)-COUNTIFS(Task!$A$5:$A$404,$A43,Task!$C$5:$C$404,I$3,Task!$K$5:$K$404,"Không áp dụng")),"Xong",IF(COUNTIFS(Task!$A$5:$A$404,$A43,Task!$C$5:$C$404,I$3,Task!$K$5:$K$404,"Bị chặn")&gt;0,"Bị chặn",IF(COUNTIFS(Task!$A$5:$A$404,$A43,Task!$C$5:$C$404,I$3,Task!$K$5:$K$404,"Hoàn thành")+COUNTIFS(Task!$A$5:$A$404,$A43,Task!$C$5:$C$404,I$3,Task!$K$5:$K$404,"Đang làm")&gt;0,"Đang làm","Chưa")))))</f>
        <v/>
      </c>
      <c r="J43" s="14" t="str">
        <f aca="false">IF($A43="","",IF((COUNTIFS(Task!$A$5:$A$404,$A43,Task!$C$5:$C$404,J$3)-COUNTIFS(Task!$A$5:$A$404,$A43,Task!$C$5:$C$404,J$3,Task!$K$5:$K$404,"Không áp dụng"))=0,"–",IF(COUNTIFS(Task!$A$5:$A$404,$A43,Task!$C$5:$C$404,J$3,Task!$K$5:$K$404,"Hoàn thành")=(COUNTIFS(Task!$A$5:$A$404,$A43,Task!$C$5:$C$404,J$3)-COUNTIFS(Task!$A$5:$A$404,$A43,Task!$C$5:$C$404,J$3,Task!$K$5:$K$404,"Không áp dụng")),"Xong",IF(COUNTIFS(Task!$A$5:$A$404,$A43,Task!$C$5:$C$404,J$3,Task!$K$5:$K$404,"Bị chặn")&gt;0,"Bị chặn",IF(COUNTIFS(Task!$A$5:$A$404,$A43,Task!$C$5:$C$404,J$3,Task!$K$5:$K$404,"Hoàn thành")+COUNTIFS(Task!$A$5:$A$404,$A43,Task!$C$5:$C$404,J$3,Task!$K$5:$K$404,"Đang làm")&gt;0,"Đang làm","Chưa")))))</f>
        <v/>
      </c>
      <c r="K43" s="14" t="str">
        <f aca="false">IF($A43="","",IF((COUNTIFS(Task!$A$5:$A$404,$A43,Task!$C$5:$C$404,K$3)-COUNTIFS(Task!$A$5:$A$404,$A43,Task!$C$5:$C$404,K$3,Task!$K$5:$K$404,"Không áp dụng"))=0,"–",IF(COUNTIFS(Task!$A$5:$A$404,$A43,Task!$C$5:$C$404,K$3,Task!$K$5:$K$404,"Hoàn thành")=(COUNTIFS(Task!$A$5:$A$404,$A43,Task!$C$5:$C$404,K$3)-COUNTIFS(Task!$A$5:$A$404,$A43,Task!$C$5:$C$404,K$3,Task!$K$5:$K$404,"Không áp dụng")),"Xong",IF(COUNTIFS(Task!$A$5:$A$404,$A43,Task!$C$5:$C$404,K$3,Task!$K$5:$K$404,"Bị chặn")&gt;0,"Bị chặn",IF(COUNTIFS(Task!$A$5:$A$404,$A43,Task!$C$5:$C$404,K$3,Task!$K$5:$K$404,"Hoàn thành")+COUNTIFS(Task!$A$5:$A$404,$A43,Task!$C$5:$C$404,K$3,Task!$K$5:$K$404,"Đang làm")&gt;0,"Đang làm","Chưa")))))</f>
        <v/>
      </c>
      <c r="L43" s="14" t="str">
        <f aca="false">IF($A43="","",IF((COUNTIFS(Task!$A$5:$A$404,$A43,Task!$C$5:$C$404,L$3)-COUNTIFS(Task!$A$5:$A$404,$A43,Task!$C$5:$C$404,L$3,Task!$K$5:$K$404,"Không áp dụng"))=0,"–",IF(COUNTIFS(Task!$A$5:$A$404,$A43,Task!$C$5:$C$404,L$3,Task!$K$5:$K$404,"Hoàn thành")=(COUNTIFS(Task!$A$5:$A$404,$A43,Task!$C$5:$C$404,L$3)-COUNTIFS(Task!$A$5:$A$404,$A43,Task!$C$5:$C$404,L$3,Task!$K$5:$K$404,"Không áp dụng")),"Xong",IF(COUNTIFS(Task!$A$5:$A$404,$A43,Task!$C$5:$C$404,L$3,Task!$K$5:$K$404,"Bị chặn")&gt;0,"Bị chặn",IF(COUNTIFS(Task!$A$5:$A$404,$A43,Task!$C$5:$C$404,L$3,Task!$K$5:$K$404,"Hoàn thành")+COUNTIFS(Task!$A$5:$A$404,$A43,Task!$C$5:$C$404,L$3,Task!$K$5:$K$404,"Đang làm")&gt;0,"Đang làm","Chưa")))))</f>
        <v/>
      </c>
      <c r="M43" s="14" t="str">
        <f aca="false">IF($A43="","",IF((COUNTIFS(Task!$A$5:$A$404,$A43,Task!$C$5:$C$404,M$3)-COUNTIFS(Task!$A$5:$A$404,$A43,Task!$C$5:$C$404,M$3,Task!$K$5:$K$404,"Không áp dụng"))=0,"–",IF(COUNTIFS(Task!$A$5:$A$404,$A43,Task!$C$5:$C$404,M$3,Task!$K$5:$K$404,"Hoàn thành")=(COUNTIFS(Task!$A$5:$A$404,$A43,Task!$C$5:$C$404,M$3)-COUNTIFS(Task!$A$5:$A$404,$A43,Task!$C$5:$C$404,M$3,Task!$K$5:$K$404,"Không áp dụng")),"Xong",IF(COUNTIFS(Task!$A$5:$A$404,$A43,Task!$C$5:$C$404,M$3,Task!$K$5:$K$404,"Bị chặn")&gt;0,"Bị chặn",IF(COUNTIFS(Task!$A$5:$A$404,$A43,Task!$C$5:$C$404,M$3,Task!$K$5:$K$404,"Hoàn thành")+COUNTIFS(Task!$A$5:$A$404,$A43,Task!$C$5:$C$404,M$3,Task!$K$5:$K$404,"Đang làm")&gt;0,"Đang làm","Chưa")))))</f>
        <v/>
      </c>
      <c r="N43" s="14" t="str">
        <f aca="false">IF($A43="","",IF(F43&lt;&gt;"Xong",1,IF(G43&lt;&gt;"Xong",2,IF(H43&lt;&gt;"Xong",3,IF(I43&lt;&gt;"Xong",4,IF(J43&lt;&gt;"Xong",5,IF(K43&lt;&gt;"Xong",6,IF(L43&lt;&gt;"Xong",7,IF(M43&lt;&gt;"Xong",8,9)))))))))</f>
        <v/>
      </c>
      <c r="O43" s="14" t="str">
        <f aca="false">IF($A43="","",IF($N43=9,"Hoàn tất",INDEX('Quy trình'!$B$5:$B$12,$N43)))</f>
        <v/>
      </c>
      <c r="P43" s="14" t="str">
        <f aca="false">IF($A43="","",COUNTIFS(Task!$A$5:$A$404,$A43)-COUNTIFS(Task!$A$5:$A$404,$A43,Task!$K$5:$K$404,"Không áp dụng"))</f>
        <v/>
      </c>
      <c r="Q43" s="14" t="str">
        <f aca="false">IF($A43="","",COUNTIFS(Task!$A$5:$A$404,$A43,Task!$K$5:$K$404,"Hoàn thành"))</f>
        <v/>
      </c>
      <c r="R43" s="16" t="str">
        <f aca="false">IF($A43="","",Q43/MAX(P43,COUNTA('Mẫu task'!$A$5:$A$64)))</f>
        <v/>
      </c>
      <c r="S43" s="14" t="str">
        <f aca="false">IF($A43="","",SUMIFS(Task!$O$5:$O$404,Task!$A$5:$A$404,$A43))</f>
        <v/>
      </c>
      <c r="T43" s="14" t="str">
        <f aca="false">IF($A43="","",COUNTIFS(Task!$A$5:$A$404,$A43,Task!$K$5:$K$404,"Bị chặn"))</f>
        <v/>
      </c>
      <c r="U43" s="14" t="str">
        <f aca="false">IF($A43="","",IF(P43=0,"Chưa có task",IF(T43&gt;0,"Bị chặn",IF(S43&gt;0,"Có việc trễ",IF(N43=9,"Hoàn tất","Đúng tiến độ")))))</f>
        <v/>
      </c>
      <c r="V43" s="14" t="str">
        <f aca="false">IF($A43="","",IFERROR(INDEX('Chấm điểm'!$D$16:$M$16,MATCH($A43,'Chấm điểm'!$D$4:$M$4,0)),""))</f>
        <v/>
      </c>
    </row>
    <row r="44" customFormat="false" ht="15" hidden="false" customHeight="false" outlineLevel="0" collapsed="false">
      <c r="A44" s="19"/>
      <c r="B44" s="19"/>
      <c r="C44" s="19"/>
      <c r="D44" s="19"/>
      <c r="E44" s="20"/>
      <c r="F44" s="14" t="str">
        <f aca="false">IF($A44="","",IF((COUNTIFS(Task!$A$5:$A$404,$A44,Task!$C$5:$C$404,F$3)-COUNTIFS(Task!$A$5:$A$404,$A44,Task!$C$5:$C$404,F$3,Task!$K$5:$K$404,"Không áp dụng"))=0,"–",IF(COUNTIFS(Task!$A$5:$A$404,$A44,Task!$C$5:$C$404,F$3,Task!$K$5:$K$404,"Hoàn thành")=(COUNTIFS(Task!$A$5:$A$404,$A44,Task!$C$5:$C$404,F$3)-COUNTIFS(Task!$A$5:$A$404,$A44,Task!$C$5:$C$404,F$3,Task!$K$5:$K$404,"Không áp dụng")),"Xong",IF(COUNTIFS(Task!$A$5:$A$404,$A44,Task!$C$5:$C$404,F$3,Task!$K$5:$K$404,"Bị chặn")&gt;0,"Bị chặn",IF(COUNTIFS(Task!$A$5:$A$404,$A44,Task!$C$5:$C$404,F$3,Task!$K$5:$K$404,"Hoàn thành")+COUNTIFS(Task!$A$5:$A$404,$A44,Task!$C$5:$C$404,F$3,Task!$K$5:$K$404,"Đang làm")&gt;0,"Đang làm","Chưa")))))</f>
        <v/>
      </c>
      <c r="G44" s="14" t="str">
        <f aca="false">IF($A44="","",IF((COUNTIFS(Task!$A$5:$A$404,$A44,Task!$C$5:$C$404,G$3)-COUNTIFS(Task!$A$5:$A$404,$A44,Task!$C$5:$C$404,G$3,Task!$K$5:$K$404,"Không áp dụng"))=0,"–",IF(COUNTIFS(Task!$A$5:$A$404,$A44,Task!$C$5:$C$404,G$3,Task!$K$5:$K$404,"Hoàn thành")=(COUNTIFS(Task!$A$5:$A$404,$A44,Task!$C$5:$C$404,G$3)-COUNTIFS(Task!$A$5:$A$404,$A44,Task!$C$5:$C$404,G$3,Task!$K$5:$K$404,"Không áp dụng")),"Xong",IF(COUNTIFS(Task!$A$5:$A$404,$A44,Task!$C$5:$C$404,G$3,Task!$K$5:$K$404,"Bị chặn")&gt;0,"Bị chặn",IF(COUNTIFS(Task!$A$5:$A$404,$A44,Task!$C$5:$C$404,G$3,Task!$K$5:$K$404,"Hoàn thành")+COUNTIFS(Task!$A$5:$A$404,$A44,Task!$C$5:$C$404,G$3,Task!$K$5:$K$404,"Đang làm")&gt;0,"Đang làm","Chưa")))))</f>
        <v/>
      </c>
      <c r="H44" s="14" t="str">
        <f aca="false">IF($A44="","",IF((COUNTIFS(Task!$A$5:$A$404,$A44,Task!$C$5:$C$404,H$3)-COUNTIFS(Task!$A$5:$A$404,$A44,Task!$C$5:$C$404,H$3,Task!$K$5:$K$404,"Không áp dụng"))=0,"–",IF(COUNTIFS(Task!$A$5:$A$404,$A44,Task!$C$5:$C$404,H$3,Task!$K$5:$K$404,"Hoàn thành")=(COUNTIFS(Task!$A$5:$A$404,$A44,Task!$C$5:$C$404,H$3)-COUNTIFS(Task!$A$5:$A$404,$A44,Task!$C$5:$C$404,H$3,Task!$K$5:$K$404,"Không áp dụng")),"Xong",IF(COUNTIFS(Task!$A$5:$A$404,$A44,Task!$C$5:$C$404,H$3,Task!$K$5:$K$404,"Bị chặn")&gt;0,"Bị chặn",IF(COUNTIFS(Task!$A$5:$A$404,$A44,Task!$C$5:$C$404,H$3,Task!$K$5:$K$404,"Hoàn thành")+COUNTIFS(Task!$A$5:$A$404,$A44,Task!$C$5:$C$404,H$3,Task!$K$5:$K$404,"Đang làm")&gt;0,"Đang làm","Chưa")))))</f>
        <v/>
      </c>
      <c r="I44" s="14" t="str">
        <f aca="false">IF($A44="","",IF((COUNTIFS(Task!$A$5:$A$404,$A44,Task!$C$5:$C$404,I$3)-COUNTIFS(Task!$A$5:$A$404,$A44,Task!$C$5:$C$404,I$3,Task!$K$5:$K$404,"Không áp dụng"))=0,"–",IF(COUNTIFS(Task!$A$5:$A$404,$A44,Task!$C$5:$C$404,I$3,Task!$K$5:$K$404,"Hoàn thành")=(COUNTIFS(Task!$A$5:$A$404,$A44,Task!$C$5:$C$404,I$3)-COUNTIFS(Task!$A$5:$A$404,$A44,Task!$C$5:$C$404,I$3,Task!$K$5:$K$404,"Không áp dụng")),"Xong",IF(COUNTIFS(Task!$A$5:$A$404,$A44,Task!$C$5:$C$404,I$3,Task!$K$5:$K$404,"Bị chặn")&gt;0,"Bị chặn",IF(COUNTIFS(Task!$A$5:$A$404,$A44,Task!$C$5:$C$404,I$3,Task!$K$5:$K$404,"Hoàn thành")+COUNTIFS(Task!$A$5:$A$404,$A44,Task!$C$5:$C$404,I$3,Task!$K$5:$K$404,"Đang làm")&gt;0,"Đang làm","Chưa")))))</f>
        <v/>
      </c>
      <c r="J44" s="14" t="str">
        <f aca="false">IF($A44="","",IF((COUNTIFS(Task!$A$5:$A$404,$A44,Task!$C$5:$C$404,J$3)-COUNTIFS(Task!$A$5:$A$404,$A44,Task!$C$5:$C$404,J$3,Task!$K$5:$K$404,"Không áp dụng"))=0,"–",IF(COUNTIFS(Task!$A$5:$A$404,$A44,Task!$C$5:$C$404,J$3,Task!$K$5:$K$404,"Hoàn thành")=(COUNTIFS(Task!$A$5:$A$404,$A44,Task!$C$5:$C$404,J$3)-COUNTIFS(Task!$A$5:$A$404,$A44,Task!$C$5:$C$404,J$3,Task!$K$5:$K$404,"Không áp dụng")),"Xong",IF(COUNTIFS(Task!$A$5:$A$404,$A44,Task!$C$5:$C$404,J$3,Task!$K$5:$K$404,"Bị chặn")&gt;0,"Bị chặn",IF(COUNTIFS(Task!$A$5:$A$404,$A44,Task!$C$5:$C$404,J$3,Task!$K$5:$K$404,"Hoàn thành")+COUNTIFS(Task!$A$5:$A$404,$A44,Task!$C$5:$C$404,J$3,Task!$K$5:$K$404,"Đang làm")&gt;0,"Đang làm","Chưa")))))</f>
        <v/>
      </c>
      <c r="K44" s="14" t="str">
        <f aca="false">IF($A44="","",IF((COUNTIFS(Task!$A$5:$A$404,$A44,Task!$C$5:$C$404,K$3)-COUNTIFS(Task!$A$5:$A$404,$A44,Task!$C$5:$C$404,K$3,Task!$K$5:$K$404,"Không áp dụng"))=0,"–",IF(COUNTIFS(Task!$A$5:$A$404,$A44,Task!$C$5:$C$404,K$3,Task!$K$5:$K$404,"Hoàn thành")=(COUNTIFS(Task!$A$5:$A$404,$A44,Task!$C$5:$C$404,K$3)-COUNTIFS(Task!$A$5:$A$404,$A44,Task!$C$5:$C$404,K$3,Task!$K$5:$K$404,"Không áp dụng")),"Xong",IF(COUNTIFS(Task!$A$5:$A$404,$A44,Task!$C$5:$C$404,K$3,Task!$K$5:$K$404,"Bị chặn")&gt;0,"Bị chặn",IF(COUNTIFS(Task!$A$5:$A$404,$A44,Task!$C$5:$C$404,K$3,Task!$K$5:$K$404,"Hoàn thành")+COUNTIFS(Task!$A$5:$A$404,$A44,Task!$C$5:$C$404,K$3,Task!$K$5:$K$404,"Đang làm")&gt;0,"Đang làm","Chưa")))))</f>
        <v/>
      </c>
      <c r="L44" s="14" t="str">
        <f aca="false">IF($A44="","",IF((COUNTIFS(Task!$A$5:$A$404,$A44,Task!$C$5:$C$404,L$3)-COUNTIFS(Task!$A$5:$A$404,$A44,Task!$C$5:$C$404,L$3,Task!$K$5:$K$404,"Không áp dụng"))=0,"–",IF(COUNTIFS(Task!$A$5:$A$404,$A44,Task!$C$5:$C$404,L$3,Task!$K$5:$K$404,"Hoàn thành")=(COUNTIFS(Task!$A$5:$A$404,$A44,Task!$C$5:$C$404,L$3)-COUNTIFS(Task!$A$5:$A$404,$A44,Task!$C$5:$C$404,L$3,Task!$K$5:$K$404,"Không áp dụng")),"Xong",IF(COUNTIFS(Task!$A$5:$A$404,$A44,Task!$C$5:$C$404,L$3,Task!$K$5:$K$404,"Bị chặn")&gt;0,"Bị chặn",IF(COUNTIFS(Task!$A$5:$A$404,$A44,Task!$C$5:$C$404,L$3,Task!$K$5:$K$404,"Hoàn thành")+COUNTIFS(Task!$A$5:$A$404,$A44,Task!$C$5:$C$404,L$3,Task!$K$5:$K$404,"Đang làm")&gt;0,"Đang làm","Chưa")))))</f>
        <v/>
      </c>
      <c r="M44" s="14" t="str">
        <f aca="false">IF($A44="","",IF((COUNTIFS(Task!$A$5:$A$404,$A44,Task!$C$5:$C$404,M$3)-COUNTIFS(Task!$A$5:$A$404,$A44,Task!$C$5:$C$404,M$3,Task!$K$5:$K$404,"Không áp dụng"))=0,"–",IF(COUNTIFS(Task!$A$5:$A$404,$A44,Task!$C$5:$C$404,M$3,Task!$K$5:$K$404,"Hoàn thành")=(COUNTIFS(Task!$A$5:$A$404,$A44,Task!$C$5:$C$404,M$3)-COUNTIFS(Task!$A$5:$A$404,$A44,Task!$C$5:$C$404,M$3,Task!$K$5:$K$404,"Không áp dụng")),"Xong",IF(COUNTIFS(Task!$A$5:$A$404,$A44,Task!$C$5:$C$404,M$3,Task!$K$5:$K$404,"Bị chặn")&gt;0,"Bị chặn",IF(COUNTIFS(Task!$A$5:$A$404,$A44,Task!$C$5:$C$404,M$3,Task!$K$5:$K$404,"Hoàn thành")+COUNTIFS(Task!$A$5:$A$404,$A44,Task!$C$5:$C$404,M$3,Task!$K$5:$K$404,"Đang làm")&gt;0,"Đang làm","Chưa")))))</f>
        <v/>
      </c>
      <c r="N44" s="14" t="str">
        <f aca="false">IF($A44="","",IF(F44&lt;&gt;"Xong",1,IF(G44&lt;&gt;"Xong",2,IF(H44&lt;&gt;"Xong",3,IF(I44&lt;&gt;"Xong",4,IF(J44&lt;&gt;"Xong",5,IF(K44&lt;&gt;"Xong",6,IF(L44&lt;&gt;"Xong",7,IF(M44&lt;&gt;"Xong",8,9)))))))))</f>
        <v/>
      </c>
      <c r="O44" s="14" t="str">
        <f aca="false">IF($A44="","",IF($N44=9,"Hoàn tất",INDEX('Quy trình'!$B$5:$B$12,$N44)))</f>
        <v/>
      </c>
      <c r="P44" s="14" t="str">
        <f aca="false">IF($A44="","",COUNTIFS(Task!$A$5:$A$404,$A44)-COUNTIFS(Task!$A$5:$A$404,$A44,Task!$K$5:$K$404,"Không áp dụng"))</f>
        <v/>
      </c>
      <c r="Q44" s="14" t="str">
        <f aca="false">IF($A44="","",COUNTIFS(Task!$A$5:$A$404,$A44,Task!$K$5:$K$404,"Hoàn thành"))</f>
        <v/>
      </c>
      <c r="R44" s="16" t="str">
        <f aca="false">IF($A44="","",Q44/MAX(P44,COUNTA('Mẫu task'!$A$5:$A$64)))</f>
        <v/>
      </c>
      <c r="S44" s="14" t="str">
        <f aca="false">IF($A44="","",SUMIFS(Task!$O$5:$O$404,Task!$A$5:$A$404,$A44))</f>
        <v/>
      </c>
      <c r="T44" s="14" t="str">
        <f aca="false">IF($A44="","",COUNTIFS(Task!$A$5:$A$404,$A44,Task!$K$5:$K$404,"Bị chặn"))</f>
        <v/>
      </c>
      <c r="U44" s="14" t="str">
        <f aca="false">IF($A44="","",IF(P44=0,"Chưa có task",IF(T44&gt;0,"Bị chặn",IF(S44&gt;0,"Có việc trễ",IF(N44=9,"Hoàn tất","Đúng tiến độ")))))</f>
        <v/>
      </c>
      <c r="V44" s="14" t="str">
        <f aca="false">IF($A44="","",IFERROR(INDEX('Chấm điểm'!$D$16:$M$16,MATCH($A44,'Chấm điểm'!$D$4:$M$4,0)),""))</f>
        <v/>
      </c>
    </row>
    <row r="45" customFormat="false" ht="15" hidden="false" customHeight="false" outlineLevel="0" collapsed="false">
      <c r="A45" s="19"/>
      <c r="B45" s="19"/>
      <c r="C45" s="19"/>
      <c r="D45" s="19"/>
      <c r="E45" s="20"/>
      <c r="F45" s="14" t="str">
        <f aca="false">IF($A45="","",IF((COUNTIFS(Task!$A$5:$A$404,$A45,Task!$C$5:$C$404,F$3)-COUNTIFS(Task!$A$5:$A$404,$A45,Task!$C$5:$C$404,F$3,Task!$K$5:$K$404,"Không áp dụng"))=0,"–",IF(COUNTIFS(Task!$A$5:$A$404,$A45,Task!$C$5:$C$404,F$3,Task!$K$5:$K$404,"Hoàn thành")=(COUNTIFS(Task!$A$5:$A$404,$A45,Task!$C$5:$C$404,F$3)-COUNTIFS(Task!$A$5:$A$404,$A45,Task!$C$5:$C$404,F$3,Task!$K$5:$K$404,"Không áp dụng")),"Xong",IF(COUNTIFS(Task!$A$5:$A$404,$A45,Task!$C$5:$C$404,F$3,Task!$K$5:$K$404,"Bị chặn")&gt;0,"Bị chặn",IF(COUNTIFS(Task!$A$5:$A$404,$A45,Task!$C$5:$C$404,F$3,Task!$K$5:$K$404,"Hoàn thành")+COUNTIFS(Task!$A$5:$A$404,$A45,Task!$C$5:$C$404,F$3,Task!$K$5:$K$404,"Đang làm")&gt;0,"Đang làm","Chưa")))))</f>
        <v/>
      </c>
      <c r="G45" s="14" t="str">
        <f aca="false">IF($A45="","",IF((COUNTIFS(Task!$A$5:$A$404,$A45,Task!$C$5:$C$404,G$3)-COUNTIFS(Task!$A$5:$A$404,$A45,Task!$C$5:$C$404,G$3,Task!$K$5:$K$404,"Không áp dụng"))=0,"–",IF(COUNTIFS(Task!$A$5:$A$404,$A45,Task!$C$5:$C$404,G$3,Task!$K$5:$K$404,"Hoàn thành")=(COUNTIFS(Task!$A$5:$A$404,$A45,Task!$C$5:$C$404,G$3)-COUNTIFS(Task!$A$5:$A$404,$A45,Task!$C$5:$C$404,G$3,Task!$K$5:$K$404,"Không áp dụng")),"Xong",IF(COUNTIFS(Task!$A$5:$A$404,$A45,Task!$C$5:$C$404,G$3,Task!$K$5:$K$404,"Bị chặn")&gt;0,"Bị chặn",IF(COUNTIFS(Task!$A$5:$A$404,$A45,Task!$C$5:$C$404,G$3,Task!$K$5:$K$404,"Hoàn thành")+COUNTIFS(Task!$A$5:$A$404,$A45,Task!$C$5:$C$404,G$3,Task!$K$5:$K$404,"Đang làm")&gt;0,"Đang làm","Chưa")))))</f>
        <v/>
      </c>
      <c r="H45" s="14" t="str">
        <f aca="false">IF($A45="","",IF((COUNTIFS(Task!$A$5:$A$404,$A45,Task!$C$5:$C$404,H$3)-COUNTIFS(Task!$A$5:$A$404,$A45,Task!$C$5:$C$404,H$3,Task!$K$5:$K$404,"Không áp dụng"))=0,"–",IF(COUNTIFS(Task!$A$5:$A$404,$A45,Task!$C$5:$C$404,H$3,Task!$K$5:$K$404,"Hoàn thành")=(COUNTIFS(Task!$A$5:$A$404,$A45,Task!$C$5:$C$404,H$3)-COUNTIFS(Task!$A$5:$A$404,$A45,Task!$C$5:$C$404,H$3,Task!$K$5:$K$404,"Không áp dụng")),"Xong",IF(COUNTIFS(Task!$A$5:$A$404,$A45,Task!$C$5:$C$404,H$3,Task!$K$5:$K$404,"Bị chặn")&gt;0,"Bị chặn",IF(COUNTIFS(Task!$A$5:$A$404,$A45,Task!$C$5:$C$404,H$3,Task!$K$5:$K$404,"Hoàn thành")+COUNTIFS(Task!$A$5:$A$404,$A45,Task!$C$5:$C$404,H$3,Task!$K$5:$K$404,"Đang làm")&gt;0,"Đang làm","Chưa")))))</f>
        <v/>
      </c>
      <c r="I45" s="14" t="str">
        <f aca="false">IF($A45="","",IF((COUNTIFS(Task!$A$5:$A$404,$A45,Task!$C$5:$C$404,I$3)-COUNTIFS(Task!$A$5:$A$404,$A45,Task!$C$5:$C$404,I$3,Task!$K$5:$K$404,"Không áp dụng"))=0,"–",IF(COUNTIFS(Task!$A$5:$A$404,$A45,Task!$C$5:$C$404,I$3,Task!$K$5:$K$404,"Hoàn thành")=(COUNTIFS(Task!$A$5:$A$404,$A45,Task!$C$5:$C$404,I$3)-COUNTIFS(Task!$A$5:$A$404,$A45,Task!$C$5:$C$404,I$3,Task!$K$5:$K$404,"Không áp dụng")),"Xong",IF(COUNTIFS(Task!$A$5:$A$404,$A45,Task!$C$5:$C$404,I$3,Task!$K$5:$K$404,"Bị chặn")&gt;0,"Bị chặn",IF(COUNTIFS(Task!$A$5:$A$404,$A45,Task!$C$5:$C$404,I$3,Task!$K$5:$K$404,"Hoàn thành")+COUNTIFS(Task!$A$5:$A$404,$A45,Task!$C$5:$C$404,I$3,Task!$K$5:$K$404,"Đang làm")&gt;0,"Đang làm","Chưa")))))</f>
        <v/>
      </c>
      <c r="J45" s="14" t="str">
        <f aca="false">IF($A45="","",IF((COUNTIFS(Task!$A$5:$A$404,$A45,Task!$C$5:$C$404,J$3)-COUNTIFS(Task!$A$5:$A$404,$A45,Task!$C$5:$C$404,J$3,Task!$K$5:$K$404,"Không áp dụng"))=0,"–",IF(COUNTIFS(Task!$A$5:$A$404,$A45,Task!$C$5:$C$404,J$3,Task!$K$5:$K$404,"Hoàn thành")=(COUNTIFS(Task!$A$5:$A$404,$A45,Task!$C$5:$C$404,J$3)-COUNTIFS(Task!$A$5:$A$404,$A45,Task!$C$5:$C$404,J$3,Task!$K$5:$K$404,"Không áp dụng")),"Xong",IF(COUNTIFS(Task!$A$5:$A$404,$A45,Task!$C$5:$C$404,J$3,Task!$K$5:$K$404,"Bị chặn")&gt;0,"Bị chặn",IF(COUNTIFS(Task!$A$5:$A$404,$A45,Task!$C$5:$C$404,J$3,Task!$K$5:$K$404,"Hoàn thành")+COUNTIFS(Task!$A$5:$A$404,$A45,Task!$C$5:$C$404,J$3,Task!$K$5:$K$404,"Đang làm")&gt;0,"Đang làm","Chưa")))))</f>
        <v/>
      </c>
      <c r="K45" s="14" t="str">
        <f aca="false">IF($A45="","",IF((COUNTIFS(Task!$A$5:$A$404,$A45,Task!$C$5:$C$404,K$3)-COUNTIFS(Task!$A$5:$A$404,$A45,Task!$C$5:$C$404,K$3,Task!$K$5:$K$404,"Không áp dụng"))=0,"–",IF(COUNTIFS(Task!$A$5:$A$404,$A45,Task!$C$5:$C$404,K$3,Task!$K$5:$K$404,"Hoàn thành")=(COUNTIFS(Task!$A$5:$A$404,$A45,Task!$C$5:$C$404,K$3)-COUNTIFS(Task!$A$5:$A$404,$A45,Task!$C$5:$C$404,K$3,Task!$K$5:$K$404,"Không áp dụng")),"Xong",IF(COUNTIFS(Task!$A$5:$A$404,$A45,Task!$C$5:$C$404,K$3,Task!$K$5:$K$404,"Bị chặn")&gt;0,"Bị chặn",IF(COUNTIFS(Task!$A$5:$A$404,$A45,Task!$C$5:$C$404,K$3,Task!$K$5:$K$404,"Hoàn thành")+COUNTIFS(Task!$A$5:$A$404,$A45,Task!$C$5:$C$404,K$3,Task!$K$5:$K$404,"Đang làm")&gt;0,"Đang làm","Chưa")))))</f>
        <v/>
      </c>
      <c r="L45" s="14" t="str">
        <f aca="false">IF($A45="","",IF((COUNTIFS(Task!$A$5:$A$404,$A45,Task!$C$5:$C$404,L$3)-COUNTIFS(Task!$A$5:$A$404,$A45,Task!$C$5:$C$404,L$3,Task!$K$5:$K$404,"Không áp dụng"))=0,"–",IF(COUNTIFS(Task!$A$5:$A$404,$A45,Task!$C$5:$C$404,L$3,Task!$K$5:$K$404,"Hoàn thành")=(COUNTIFS(Task!$A$5:$A$404,$A45,Task!$C$5:$C$404,L$3)-COUNTIFS(Task!$A$5:$A$404,$A45,Task!$C$5:$C$404,L$3,Task!$K$5:$K$404,"Không áp dụng")),"Xong",IF(COUNTIFS(Task!$A$5:$A$404,$A45,Task!$C$5:$C$404,L$3,Task!$K$5:$K$404,"Bị chặn")&gt;0,"Bị chặn",IF(COUNTIFS(Task!$A$5:$A$404,$A45,Task!$C$5:$C$404,L$3,Task!$K$5:$K$404,"Hoàn thành")+COUNTIFS(Task!$A$5:$A$404,$A45,Task!$C$5:$C$404,L$3,Task!$K$5:$K$404,"Đang làm")&gt;0,"Đang làm","Chưa")))))</f>
        <v/>
      </c>
      <c r="M45" s="14" t="str">
        <f aca="false">IF($A45="","",IF((COUNTIFS(Task!$A$5:$A$404,$A45,Task!$C$5:$C$404,M$3)-COUNTIFS(Task!$A$5:$A$404,$A45,Task!$C$5:$C$404,M$3,Task!$K$5:$K$404,"Không áp dụng"))=0,"–",IF(COUNTIFS(Task!$A$5:$A$404,$A45,Task!$C$5:$C$404,M$3,Task!$K$5:$K$404,"Hoàn thành")=(COUNTIFS(Task!$A$5:$A$404,$A45,Task!$C$5:$C$404,M$3)-COUNTIFS(Task!$A$5:$A$404,$A45,Task!$C$5:$C$404,M$3,Task!$K$5:$K$404,"Không áp dụng")),"Xong",IF(COUNTIFS(Task!$A$5:$A$404,$A45,Task!$C$5:$C$404,M$3,Task!$K$5:$K$404,"Bị chặn")&gt;0,"Bị chặn",IF(COUNTIFS(Task!$A$5:$A$404,$A45,Task!$C$5:$C$404,M$3,Task!$K$5:$K$404,"Hoàn thành")+COUNTIFS(Task!$A$5:$A$404,$A45,Task!$C$5:$C$404,M$3,Task!$K$5:$K$404,"Đang làm")&gt;0,"Đang làm","Chưa")))))</f>
        <v/>
      </c>
      <c r="N45" s="14" t="str">
        <f aca="false">IF($A45="","",IF(F45&lt;&gt;"Xong",1,IF(G45&lt;&gt;"Xong",2,IF(H45&lt;&gt;"Xong",3,IF(I45&lt;&gt;"Xong",4,IF(J45&lt;&gt;"Xong",5,IF(K45&lt;&gt;"Xong",6,IF(L45&lt;&gt;"Xong",7,IF(M45&lt;&gt;"Xong",8,9)))))))))</f>
        <v/>
      </c>
      <c r="O45" s="14" t="str">
        <f aca="false">IF($A45="","",IF($N45=9,"Hoàn tất",INDEX('Quy trình'!$B$5:$B$12,$N45)))</f>
        <v/>
      </c>
      <c r="P45" s="14" t="str">
        <f aca="false">IF($A45="","",COUNTIFS(Task!$A$5:$A$404,$A45)-COUNTIFS(Task!$A$5:$A$404,$A45,Task!$K$5:$K$404,"Không áp dụng"))</f>
        <v/>
      </c>
      <c r="Q45" s="14" t="str">
        <f aca="false">IF($A45="","",COUNTIFS(Task!$A$5:$A$404,$A45,Task!$K$5:$K$404,"Hoàn thành"))</f>
        <v/>
      </c>
      <c r="R45" s="16" t="str">
        <f aca="false">IF($A45="","",Q45/MAX(P45,COUNTA('Mẫu task'!$A$5:$A$64)))</f>
        <v/>
      </c>
      <c r="S45" s="14" t="str">
        <f aca="false">IF($A45="","",SUMIFS(Task!$O$5:$O$404,Task!$A$5:$A$404,$A45))</f>
        <v/>
      </c>
      <c r="T45" s="14" t="str">
        <f aca="false">IF($A45="","",COUNTIFS(Task!$A$5:$A$404,$A45,Task!$K$5:$K$404,"Bị chặn"))</f>
        <v/>
      </c>
      <c r="U45" s="14" t="str">
        <f aca="false">IF($A45="","",IF(P45=0,"Chưa có task",IF(T45&gt;0,"Bị chặn",IF(S45&gt;0,"Có việc trễ",IF(N45=9,"Hoàn tất","Đúng tiến độ")))))</f>
        <v/>
      </c>
      <c r="V45" s="14" t="str">
        <f aca="false">IF($A45="","",IFERROR(INDEX('Chấm điểm'!$D$16:$M$16,MATCH($A45,'Chấm điểm'!$D$4:$M$4,0)),""))</f>
        <v/>
      </c>
    </row>
    <row r="46" customFormat="false" ht="15" hidden="false" customHeight="false" outlineLevel="0" collapsed="false">
      <c r="A46" s="19"/>
      <c r="B46" s="19"/>
      <c r="C46" s="19"/>
      <c r="D46" s="19"/>
      <c r="E46" s="20"/>
      <c r="F46" s="14" t="str">
        <f aca="false">IF($A46="","",IF((COUNTIFS(Task!$A$5:$A$404,$A46,Task!$C$5:$C$404,F$3)-COUNTIFS(Task!$A$5:$A$404,$A46,Task!$C$5:$C$404,F$3,Task!$K$5:$K$404,"Không áp dụng"))=0,"–",IF(COUNTIFS(Task!$A$5:$A$404,$A46,Task!$C$5:$C$404,F$3,Task!$K$5:$K$404,"Hoàn thành")=(COUNTIFS(Task!$A$5:$A$404,$A46,Task!$C$5:$C$404,F$3)-COUNTIFS(Task!$A$5:$A$404,$A46,Task!$C$5:$C$404,F$3,Task!$K$5:$K$404,"Không áp dụng")),"Xong",IF(COUNTIFS(Task!$A$5:$A$404,$A46,Task!$C$5:$C$404,F$3,Task!$K$5:$K$404,"Bị chặn")&gt;0,"Bị chặn",IF(COUNTIFS(Task!$A$5:$A$404,$A46,Task!$C$5:$C$404,F$3,Task!$K$5:$K$404,"Hoàn thành")+COUNTIFS(Task!$A$5:$A$404,$A46,Task!$C$5:$C$404,F$3,Task!$K$5:$K$404,"Đang làm")&gt;0,"Đang làm","Chưa")))))</f>
        <v/>
      </c>
      <c r="G46" s="14" t="str">
        <f aca="false">IF($A46="","",IF((COUNTIFS(Task!$A$5:$A$404,$A46,Task!$C$5:$C$404,G$3)-COUNTIFS(Task!$A$5:$A$404,$A46,Task!$C$5:$C$404,G$3,Task!$K$5:$K$404,"Không áp dụng"))=0,"–",IF(COUNTIFS(Task!$A$5:$A$404,$A46,Task!$C$5:$C$404,G$3,Task!$K$5:$K$404,"Hoàn thành")=(COUNTIFS(Task!$A$5:$A$404,$A46,Task!$C$5:$C$404,G$3)-COUNTIFS(Task!$A$5:$A$404,$A46,Task!$C$5:$C$404,G$3,Task!$K$5:$K$404,"Không áp dụng")),"Xong",IF(COUNTIFS(Task!$A$5:$A$404,$A46,Task!$C$5:$C$404,G$3,Task!$K$5:$K$404,"Bị chặn")&gt;0,"Bị chặn",IF(COUNTIFS(Task!$A$5:$A$404,$A46,Task!$C$5:$C$404,G$3,Task!$K$5:$K$404,"Hoàn thành")+COUNTIFS(Task!$A$5:$A$404,$A46,Task!$C$5:$C$404,G$3,Task!$K$5:$K$404,"Đang làm")&gt;0,"Đang làm","Chưa")))))</f>
        <v/>
      </c>
      <c r="H46" s="14" t="str">
        <f aca="false">IF($A46="","",IF((COUNTIFS(Task!$A$5:$A$404,$A46,Task!$C$5:$C$404,H$3)-COUNTIFS(Task!$A$5:$A$404,$A46,Task!$C$5:$C$404,H$3,Task!$K$5:$K$404,"Không áp dụng"))=0,"–",IF(COUNTIFS(Task!$A$5:$A$404,$A46,Task!$C$5:$C$404,H$3,Task!$K$5:$K$404,"Hoàn thành")=(COUNTIFS(Task!$A$5:$A$404,$A46,Task!$C$5:$C$404,H$3)-COUNTIFS(Task!$A$5:$A$404,$A46,Task!$C$5:$C$404,H$3,Task!$K$5:$K$404,"Không áp dụng")),"Xong",IF(COUNTIFS(Task!$A$5:$A$404,$A46,Task!$C$5:$C$404,H$3,Task!$K$5:$K$404,"Bị chặn")&gt;0,"Bị chặn",IF(COUNTIFS(Task!$A$5:$A$404,$A46,Task!$C$5:$C$404,H$3,Task!$K$5:$K$404,"Hoàn thành")+COUNTIFS(Task!$A$5:$A$404,$A46,Task!$C$5:$C$404,H$3,Task!$K$5:$K$404,"Đang làm")&gt;0,"Đang làm","Chưa")))))</f>
        <v/>
      </c>
      <c r="I46" s="14" t="str">
        <f aca="false">IF($A46="","",IF((COUNTIFS(Task!$A$5:$A$404,$A46,Task!$C$5:$C$404,I$3)-COUNTIFS(Task!$A$5:$A$404,$A46,Task!$C$5:$C$404,I$3,Task!$K$5:$K$404,"Không áp dụng"))=0,"–",IF(COUNTIFS(Task!$A$5:$A$404,$A46,Task!$C$5:$C$404,I$3,Task!$K$5:$K$404,"Hoàn thành")=(COUNTIFS(Task!$A$5:$A$404,$A46,Task!$C$5:$C$404,I$3)-COUNTIFS(Task!$A$5:$A$404,$A46,Task!$C$5:$C$404,I$3,Task!$K$5:$K$404,"Không áp dụng")),"Xong",IF(COUNTIFS(Task!$A$5:$A$404,$A46,Task!$C$5:$C$404,I$3,Task!$K$5:$K$404,"Bị chặn")&gt;0,"Bị chặn",IF(COUNTIFS(Task!$A$5:$A$404,$A46,Task!$C$5:$C$404,I$3,Task!$K$5:$K$404,"Hoàn thành")+COUNTIFS(Task!$A$5:$A$404,$A46,Task!$C$5:$C$404,I$3,Task!$K$5:$K$404,"Đang làm")&gt;0,"Đang làm","Chưa")))))</f>
        <v/>
      </c>
      <c r="J46" s="14" t="str">
        <f aca="false">IF($A46="","",IF((COUNTIFS(Task!$A$5:$A$404,$A46,Task!$C$5:$C$404,J$3)-COUNTIFS(Task!$A$5:$A$404,$A46,Task!$C$5:$C$404,J$3,Task!$K$5:$K$404,"Không áp dụng"))=0,"–",IF(COUNTIFS(Task!$A$5:$A$404,$A46,Task!$C$5:$C$404,J$3,Task!$K$5:$K$404,"Hoàn thành")=(COUNTIFS(Task!$A$5:$A$404,$A46,Task!$C$5:$C$404,J$3)-COUNTIFS(Task!$A$5:$A$404,$A46,Task!$C$5:$C$404,J$3,Task!$K$5:$K$404,"Không áp dụng")),"Xong",IF(COUNTIFS(Task!$A$5:$A$404,$A46,Task!$C$5:$C$404,J$3,Task!$K$5:$K$404,"Bị chặn")&gt;0,"Bị chặn",IF(COUNTIFS(Task!$A$5:$A$404,$A46,Task!$C$5:$C$404,J$3,Task!$K$5:$K$404,"Hoàn thành")+COUNTIFS(Task!$A$5:$A$404,$A46,Task!$C$5:$C$404,J$3,Task!$K$5:$K$404,"Đang làm")&gt;0,"Đang làm","Chưa")))))</f>
        <v/>
      </c>
      <c r="K46" s="14" t="str">
        <f aca="false">IF($A46="","",IF((COUNTIFS(Task!$A$5:$A$404,$A46,Task!$C$5:$C$404,K$3)-COUNTIFS(Task!$A$5:$A$404,$A46,Task!$C$5:$C$404,K$3,Task!$K$5:$K$404,"Không áp dụng"))=0,"–",IF(COUNTIFS(Task!$A$5:$A$404,$A46,Task!$C$5:$C$404,K$3,Task!$K$5:$K$404,"Hoàn thành")=(COUNTIFS(Task!$A$5:$A$404,$A46,Task!$C$5:$C$404,K$3)-COUNTIFS(Task!$A$5:$A$404,$A46,Task!$C$5:$C$404,K$3,Task!$K$5:$K$404,"Không áp dụng")),"Xong",IF(COUNTIFS(Task!$A$5:$A$404,$A46,Task!$C$5:$C$404,K$3,Task!$K$5:$K$404,"Bị chặn")&gt;0,"Bị chặn",IF(COUNTIFS(Task!$A$5:$A$404,$A46,Task!$C$5:$C$404,K$3,Task!$K$5:$K$404,"Hoàn thành")+COUNTIFS(Task!$A$5:$A$404,$A46,Task!$C$5:$C$404,K$3,Task!$K$5:$K$404,"Đang làm")&gt;0,"Đang làm","Chưa")))))</f>
        <v/>
      </c>
      <c r="L46" s="14" t="str">
        <f aca="false">IF($A46="","",IF((COUNTIFS(Task!$A$5:$A$404,$A46,Task!$C$5:$C$404,L$3)-COUNTIFS(Task!$A$5:$A$404,$A46,Task!$C$5:$C$404,L$3,Task!$K$5:$K$404,"Không áp dụng"))=0,"–",IF(COUNTIFS(Task!$A$5:$A$404,$A46,Task!$C$5:$C$404,L$3,Task!$K$5:$K$404,"Hoàn thành")=(COUNTIFS(Task!$A$5:$A$404,$A46,Task!$C$5:$C$404,L$3)-COUNTIFS(Task!$A$5:$A$404,$A46,Task!$C$5:$C$404,L$3,Task!$K$5:$K$404,"Không áp dụng")),"Xong",IF(COUNTIFS(Task!$A$5:$A$404,$A46,Task!$C$5:$C$404,L$3,Task!$K$5:$K$404,"Bị chặn")&gt;0,"Bị chặn",IF(COUNTIFS(Task!$A$5:$A$404,$A46,Task!$C$5:$C$404,L$3,Task!$K$5:$K$404,"Hoàn thành")+COUNTIFS(Task!$A$5:$A$404,$A46,Task!$C$5:$C$404,L$3,Task!$K$5:$K$404,"Đang làm")&gt;0,"Đang làm","Chưa")))))</f>
        <v/>
      </c>
      <c r="M46" s="14" t="str">
        <f aca="false">IF($A46="","",IF((COUNTIFS(Task!$A$5:$A$404,$A46,Task!$C$5:$C$404,M$3)-COUNTIFS(Task!$A$5:$A$404,$A46,Task!$C$5:$C$404,M$3,Task!$K$5:$K$404,"Không áp dụng"))=0,"–",IF(COUNTIFS(Task!$A$5:$A$404,$A46,Task!$C$5:$C$404,M$3,Task!$K$5:$K$404,"Hoàn thành")=(COUNTIFS(Task!$A$5:$A$404,$A46,Task!$C$5:$C$404,M$3)-COUNTIFS(Task!$A$5:$A$404,$A46,Task!$C$5:$C$404,M$3,Task!$K$5:$K$404,"Không áp dụng")),"Xong",IF(COUNTIFS(Task!$A$5:$A$404,$A46,Task!$C$5:$C$404,M$3,Task!$K$5:$K$404,"Bị chặn")&gt;0,"Bị chặn",IF(COUNTIFS(Task!$A$5:$A$404,$A46,Task!$C$5:$C$404,M$3,Task!$K$5:$K$404,"Hoàn thành")+COUNTIFS(Task!$A$5:$A$404,$A46,Task!$C$5:$C$404,M$3,Task!$K$5:$K$404,"Đang làm")&gt;0,"Đang làm","Chưa")))))</f>
        <v/>
      </c>
      <c r="N46" s="14" t="str">
        <f aca="false">IF($A46="","",IF(F46&lt;&gt;"Xong",1,IF(G46&lt;&gt;"Xong",2,IF(H46&lt;&gt;"Xong",3,IF(I46&lt;&gt;"Xong",4,IF(J46&lt;&gt;"Xong",5,IF(K46&lt;&gt;"Xong",6,IF(L46&lt;&gt;"Xong",7,IF(M46&lt;&gt;"Xong",8,9)))))))))</f>
        <v/>
      </c>
      <c r="O46" s="14" t="str">
        <f aca="false">IF($A46="","",IF($N46=9,"Hoàn tất",INDEX('Quy trình'!$B$5:$B$12,$N46)))</f>
        <v/>
      </c>
      <c r="P46" s="14" t="str">
        <f aca="false">IF($A46="","",COUNTIFS(Task!$A$5:$A$404,$A46)-COUNTIFS(Task!$A$5:$A$404,$A46,Task!$K$5:$K$404,"Không áp dụng"))</f>
        <v/>
      </c>
      <c r="Q46" s="14" t="str">
        <f aca="false">IF($A46="","",COUNTIFS(Task!$A$5:$A$404,$A46,Task!$K$5:$K$404,"Hoàn thành"))</f>
        <v/>
      </c>
      <c r="R46" s="16" t="str">
        <f aca="false">IF($A46="","",Q46/MAX(P46,COUNTA('Mẫu task'!$A$5:$A$64)))</f>
        <v/>
      </c>
      <c r="S46" s="14" t="str">
        <f aca="false">IF($A46="","",SUMIFS(Task!$O$5:$O$404,Task!$A$5:$A$404,$A46))</f>
        <v/>
      </c>
      <c r="T46" s="14" t="str">
        <f aca="false">IF($A46="","",COUNTIFS(Task!$A$5:$A$404,$A46,Task!$K$5:$K$404,"Bị chặn"))</f>
        <v/>
      </c>
      <c r="U46" s="14" t="str">
        <f aca="false">IF($A46="","",IF(P46=0,"Chưa có task",IF(T46&gt;0,"Bị chặn",IF(S46&gt;0,"Có việc trễ",IF(N46=9,"Hoàn tất","Đúng tiến độ")))))</f>
        <v/>
      </c>
      <c r="V46" s="14" t="str">
        <f aca="false">IF($A46="","",IFERROR(INDEX('Chấm điểm'!$D$16:$M$16,MATCH($A46,'Chấm điểm'!$D$4:$M$4,0)),""))</f>
        <v/>
      </c>
    </row>
    <row r="47" customFormat="false" ht="15" hidden="false" customHeight="false" outlineLevel="0" collapsed="false">
      <c r="A47" s="19"/>
      <c r="B47" s="19"/>
      <c r="C47" s="19"/>
      <c r="D47" s="19"/>
      <c r="E47" s="20"/>
      <c r="F47" s="14" t="str">
        <f aca="false">IF($A47="","",IF((COUNTIFS(Task!$A$5:$A$404,$A47,Task!$C$5:$C$404,F$3)-COUNTIFS(Task!$A$5:$A$404,$A47,Task!$C$5:$C$404,F$3,Task!$K$5:$K$404,"Không áp dụng"))=0,"–",IF(COUNTIFS(Task!$A$5:$A$404,$A47,Task!$C$5:$C$404,F$3,Task!$K$5:$K$404,"Hoàn thành")=(COUNTIFS(Task!$A$5:$A$404,$A47,Task!$C$5:$C$404,F$3)-COUNTIFS(Task!$A$5:$A$404,$A47,Task!$C$5:$C$404,F$3,Task!$K$5:$K$404,"Không áp dụng")),"Xong",IF(COUNTIFS(Task!$A$5:$A$404,$A47,Task!$C$5:$C$404,F$3,Task!$K$5:$K$404,"Bị chặn")&gt;0,"Bị chặn",IF(COUNTIFS(Task!$A$5:$A$404,$A47,Task!$C$5:$C$404,F$3,Task!$K$5:$K$404,"Hoàn thành")+COUNTIFS(Task!$A$5:$A$404,$A47,Task!$C$5:$C$404,F$3,Task!$K$5:$K$404,"Đang làm")&gt;0,"Đang làm","Chưa")))))</f>
        <v/>
      </c>
      <c r="G47" s="14" t="str">
        <f aca="false">IF($A47="","",IF((COUNTIFS(Task!$A$5:$A$404,$A47,Task!$C$5:$C$404,G$3)-COUNTIFS(Task!$A$5:$A$404,$A47,Task!$C$5:$C$404,G$3,Task!$K$5:$K$404,"Không áp dụng"))=0,"–",IF(COUNTIFS(Task!$A$5:$A$404,$A47,Task!$C$5:$C$404,G$3,Task!$K$5:$K$404,"Hoàn thành")=(COUNTIFS(Task!$A$5:$A$404,$A47,Task!$C$5:$C$404,G$3)-COUNTIFS(Task!$A$5:$A$404,$A47,Task!$C$5:$C$404,G$3,Task!$K$5:$K$404,"Không áp dụng")),"Xong",IF(COUNTIFS(Task!$A$5:$A$404,$A47,Task!$C$5:$C$404,G$3,Task!$K$5:$K$404,"Bị chặn")&gt;0,"Bị chặn",IF(COUNTIFS(Task!$A$5:$A$404,$A47,Task!$C$5:$C$404,G$3,Task!$K$5:$K$404,"Hoàn thành")+COUNTIFS(Task!$A$5:$A$404,$A47,Task!$C$5:$C$404,G$3,Task!$K$5:$K$404,"Đang làm")&gt;0,"Đang làm","Chưa")))))</f>
        <v/>
      </c>
      <c r="H47" s="14" t="str">
        <f aca="false">IF($A47="","",IF((COUNTIFS(Task!$A$5:$A$404,$A47,Task!$C$5:$C$404,H$3)-COUNTIFS(Task!$A$5:$A$404,$A47,Task!$C$5:$C$404,H$3,Task!$K$5:$K$404,"Không áp dụng"))=0,"–",IF(COUNTIFS(Task!$A$5:$A$404,$A47,Task!$C$5:$C$404,H$3,Task!$K$5:$K$404,"Hoàn thành")=(COUNTIFS(Task!$A$5:$A$404,$A47,Task!$C$5:$C$404,H$3)-COUNTIFS(Task!$A$5:$A$404,$A47,Task!$C$5:$C$404,H$3,Task!$K$5:$K$404,"Không áp dụng")),"Xong",IF(COUNTIFS(Task!$A$5:$A$404,$A47,Task!$C$5:$C$404,H$3,Task!$K$5:$K$404,"Bị chặn")&gt;0,"Bị chặn",IF(COUNTIFS(Task!$A$5:$A$404,$A47,Task!$C$5:$C$404,H$3,Task!$K$5:$K$404,"Hoàn thành")+COUNTIFS(Task!$A$5:$A$404,$A47,Task!$C$5:$C$404,H$3,Task!$K$5:$K$404,"Đang làm")&gt;0,"Đang làm","Chưa")))))</f>
        <v/>
      </c>
      <c r="I47" s="14" t="str">
        <f aca="false">IF($A47="","",IF((COUNTIFS(Task!$A$5:$A$404,$A47,Task!$C$5:$C$404,I$3)-COUNTIFS(Task!$A$5:$A$404,$A47,Task!$C$5:$C$404,I$3,Task!$K$5:$K$404,"Không áp dụng"))=0,"–",IF(COUNTIFS(Task!$A$5:$A$404,$A47,Task!$C$5:$C$404,I$3,Task!$K$5:$K$404,"Hoàn thành")=(COUNTIFS(Task!$A$5:$A$404,$A47,Task!$C$5:$C$404,I$3)-COUNTIFS(Task!$A$5:$A$404,$A47,Task!$C$5:$C$404,I$3,Task!$K$5:$K$404,"Không áp dụng")),"Xong",IF(COUNTIFS(Task!$A$5:$A$404,$A47,Task!$C$5:$C$404,I$3,Task!$K$5:$K$404,"Bị chặn")&gt;0,"Bị chặn",IF(COUNTIFS(Task!$A$5:$A$404,$A47,Task!$C$5:$C$404,I$3,Task!$K$5:$K$404,"Hoàn thành")+COUNTIFS(Task!$A$5:$A$404,$A47,Task!$C$5:$C$404,I$3,Task!$K$5:$K$404,"Đang làm")&gt;0,"Đang làm","Chưa")))))</f>
        <v/>
      </c>
      <c r="J47" s="14" t="str">
        <f aca="false">IF($A47="","",IF((COUNTIFS(Task!$A$5:$A$404,$A47,Task!$C$5:$C$404,J$3)-COUNTIFS(Task!$A$5:$A$404,$A47,Task!$C$5:$C$404,J$3,Task!$K$5:$K$404,"Không áp dụng"))=0,"–",IF(COUNTIFS(Task!$A$5:$A$404,$A47,Task!$C$5:$C$404,J$3,Task!$K$5:$K$404,"Hoàn thành")=(COUNTIFS(Task!$A$5:$A$404,$A47,Task!$C$5:$C$404,J$3)-COUNTIFS(Task!$A$5:$A$404,$A47,Task!$C$5:$C$404,J$3,Task!$K$5:$K$404,"Không áp dụng")),"Xong",IF(COUNTIFS(Task!$A$5:$A$404,$A47,Task!$C$5:$C$404,J$3,Task!$K$5:$K$404,"Bị chặn")&gt;0,"Bị chặn",IF(COUNTIFS(Task!$A$5:$A$404,$A47,Task!$C$5:$C$404,J$3,Task!$K$5:$K$404,"Hoàn thành")+COUNTIFS(Task!$A$5:$A$404,$A47,Task!$C$5:$C$404,J$3,Task!$K$5:$K$404,"Đang làm")&gt;0,"Đang làm","Chưa")))))</f>
        <v/>
      </c>
      <c r="K47" s="14" t="str">
        <f aca="false">IF($A47="","",IF((COUNTIFS(Task!$A$5:$A$404,$A47,Task!$C$5:$C$404,K$3)-COUNTIFS(Task!$A$5:$A$404,$A47,Task!$C$5:$C$404,K$3,Task!$K$5:$K$404,"Không áp dụng"))=0,"–",IF(COUNTIFS(Task!$A$5:$A$404,$A47,Task!$C$5:$C$404,K$3,Task!$K$5:$K$404,"Hoàn thành")=(COUNTIFS(Task!$A$5:$A$404,$A47,Task!$C$5:$C$404,K$3)-COUNTIFS(Task!$A$5:$A$404,$A47,Task!$C$5:$C$404,K$3,Task!$K$5:$K$404,"Không áp dụng")),"Xong",IF(COUNTIFS(Task!$A$5:$A$404,$A47,Task!$C$5:$C$404,K$3,Task!$K$5:$K$404,"Bị chặn")&gt;0,"Bị chặn",IF(COUNTIFS(Task!$A$5:$A$404,$A47,Task!$C$5:$C$404,K$3,Task!$K$5:$K$404,"Hoàn thành")+COUNTIFS(Task!$A$5:$A$404,$A47,Task!$C$5:$C$404,K$3,Task!$K$5:$K$404,"Đang làm")&gt;0,"Đang làm","Chưa")))))</f>
        <v/>
      </c>
      <c r="L47" s="14" t="str">
        <f aca="false">IF($A47="","",IF((COUNTIFS(Task!$A$5:$A$404,$A47,Task!$C$5:$C$404,L$3)-COUNTIFS(Task!$A$5:$A$404,$A47,Task!$C$5:$C$404,L$3,Task!$K$5:$K$404,"Không áp dụng"))=0,"–",IF(COUNTIFS(Task!$A$5:$A$404,$A47,Task!$C$5:$C$404,L$3,Task!$K$5:$K$404,"Hoàn thành")=(COUNTIFS(Task!$A$5:$A$404,$A47,Task!$C$5:$C$404,L$3)-COUNTIFS(Task!$A$5:$A$404,$A47,Task!$C$5:$C$404,L$3,Task!$K$5:$K$404,"Không áp dụng")),"Xong",IF(COUNTIFS(Task!$A$5:$A$404,$A47,Task!$C$5:$C$404,L$3,Task!$K$5:$K$404,"Bị chặn")&gt;0,"Bị chặn",IF(COUNTIFS(Task!$A$5:$A$404,$A47,Task!$C$5:$C$404,L$3,Task!$K$5:$K$404,"Hoàn thành")+COUNTIFS(Task!$A$5:$A$404,$A47,Task!$C$5:$C$404,L$3,Task!$K$5:$K$404,"Đang làm")&gt;0,"Đang làm","Chưa")))))</f>
        <v/>
      </c>
      <c r="M47" s="14" t="str">
        <f aca="false">IF($A47="","",IF((COUNTIFS(Task!$A$5:$A$404,$A47,Task!$C$5:$C$404,M$3)-COUNTIFS(Task!$A$5:$A$404,$A47,Task!$C$5:$C$404,M$3,Task!$K$5:$K$404,"Không áp dụng"))=0,"–",IF(COUNTIFS(Task!$A$5:$A$404,$A47,Task!$C$5:$C$404,M$3,Task!$K$5:$K$404,"Hoàn thành")=(COUNTIFS(Task!$A$5:$A$404,$A47,Task!$C$5:$C$404,M$3)-COUNTIFS(Task!$A$5:$A$404,$A47,Task!$C$5:$C$404,M$3,Task!$K$5:$K$404,"Không áp dụng")),"Xong",IF(COUNTIFS(Task!$A$5:$A$404,$A47,Task!$C$5:$C$404,M$3,Task!$K$5:$K$404,"Bị chặn")&gt;0,"Bị chặn",IF(COUNTIFS(Task!$A$5:$A$404,$A47,Task!$C$5:$C$404,M$3,Task!$K$5:$K$404,"Hoàn thành")+COUNTIFS(Task!$A$5:$A$404,$A47,Task!$C$5:$C$404,M$3,Task!$K$5:$K$404,"Đang làm")&gt;0,"Đang làm","Chưa")))))</f>
        <v/>
      </c>
      <c r="N47" s="14" t="str">
        <f aca="false">IF($A47="","",IF(F47&lt;&gt;"Xong",1,IF(G47&lt;&gt;"Xong",2,IF(H47&lt;&gt;"Xong",3,IF(I47&lt;&gt;"Xong",4,IF(J47&lt;&gt;"Xong",5,IF(K47&lt;&gt;"Xong",6,IF(L47&lt;&gt;"Xong",7,IF(M47&lt;&gt;"Xong",8,9)))))))))</f>
        <v/>
      </c>
      <c r="O47" s="14" t="str">
        <f aca="false">IF($A47="","",IF($N47=9,"Hoàn tất",INDEX('Quy trình'!$B$5:$B$12,$N47)))</f>
        <v/>
      </c>
      <c r="P47" s="14" t="str">
        <f aca="false">IF($A47="","",COUNTIFS(Task!$A$5:$A$404,$A47)-COUNTIFS(Task!$A$5:$A$404,$A47,Task!$K$5:$K$404,"Không áp dụng"))</f>
        <v/>
      </c>
      <c r="Q47" s="14" t="str">
        <f aca="false">IF($A47="","",COUNTIFS(Task!$A$5:$A$404,$A47,Task!$K$5:$K$404,"Hoàn thành"))</f>
        <v/>
      </c>
      <c r="R47" s="16" t="str">
        <f aca="false">IF($A47="","",Q47/MAX(P47,COUNTA('Mẫu task'!$A$5:$A$64)))</f>
        <v/>
      </c>
      <c r="S47" s="14" t="str">
        <f aca="false">IF($A47="","",SUMIFS(Task!$O$5:$O$404,Task!$A$5:$A$404,$A47))</f>
        <v/>
      </c>
      <c r="T47" s="14" t="str">
        <f aca="false">IF($A47="","",COUNTIFS(Task!$A$5:$A$404,$A47,Task!$K$5:$K$404,"Bị chặn"))</f>
        <v/>
      </c>
      <c r="U47" s="14" t="str">
        <f aca="false">IF($A47="","",IF(P47=0,"Chưa có task",IF(T47&gt;0,"Bị chặn",IF(S47&gt;0,"Có việc trễ",IF(N47=9,"Hoàn tất","Đúng tiến độ")))))</f>
        <v/>
      </c>
      <c r="V47" s="14" t="str">
        <f aca="false">IF($A47="","",IFERROR(INDEX('Chấm điểm'!$D$16:$M$16,MATCH($A47,'Chấm điểm'!$D$4:$M$4,0)),""))</f>
        <v/>
      </c>
    </row>
    <row r="48" customFormat="false" ht="15" hidden="false" customHeight="false" outlineLevel="0" collapsed="false">
      <c r="A48" s="19"/>
      <c r="B48" s="19"/>
      <c r="C48" s="19"/>
      <c r="D48" s="19"/>
      <c r="E48" s="20"/>
      <c r="F48" s="14" t="str">
        <f aca="false">IF($A48="","",IF((COUNTIFS(Task!$A$5:$A$404,$A48,Task!$C$5:$C$404,F$3)-COUNTIFS(Task!$A$5:$A$404,$A48,Task!$C$5:$C$404,F$3,Task!$K$5:$K$404,"Không áp dụng"))=0,"–",IF(COUNTIFS(Task!$A$5:$A$404,$A48,Task!$C$5:$C$404,F$3,Task!$K$5:$K$404,"Hoàn thành")=(COUNTIFS(Task!$A$5:$A$404,$A48,Task!$C$5:$C$404,F$3)-COUNTIFS(Task!$A$5:$A$404,$A48,Task!$C$5:$C$404,F$3,Task!$K$5:$K$404,"Không áp dụng")),"Xong",IF(COUNTIFS(Task!$A$5:$A$404,$A48,Task!$C$5:$C$404,F$3,Task!$K$5:$K$404,"Bị chặn")&gt;0,"Bị chặn",IF(COUNTIFS(Task!$A$5:$A$404,$A48,Task!$C$5:$C$404,F$3,Task!$K$5:$K$404,"Hoàn thành")+COUNTIFS(Task!$A$5:$A$404,$A48,Task!$C$5:$C$404,F$3,Task!$K$5:$K$404,"Đang làm")&gt;0,"Đang làm","Chưa")))))</f>
        <v/>
      </c>
      <c r="G48" s="14" t="str">
        <f aca="false">IF($A48="","",IF((COUNTIFS(Task!$A$5:$A$404,$A48,Task!$C$5:$C$404,G$3)-COUNTIFS(Task!$A$5:$A$404,$A48,Task!$C$5:$C$404,G$3,Task!$K$5:$K$404,"Không áp dụng"))=0,"–",IF(COUNTIFS(Task!$A$5:$A$404,$A48,Task!$C$5:$C$404,G$3,Task!$K$5:$K$404,"Hoàn thành")=(COUNTIFS(Task!$A$5:$A$404,$A48,Task!$C$5:$C$404,G$3)-COUNTIFS(Task!$A$5:$A$404,$A48,Task!$C$5:$C$404,G$3,Task!$K$5:$K$404,"Không áp dụng")),"Xong",IF(COUNTIFS(Task!$A$5:$A$404,$A48,Task!$C$5:$C$404,G$3,Task!$K$5:$K$404,"Bị chặn")&gt;0,"Bị chặn",IF(COUNTIFS(Task!$A$5:$A$404,$A48,Task!$C$5:$C$404,G$3,Task!$K$5:$K$404,"Hoàn thành")+COUNTIFS(Task!$A$5:$A$404,$A48,Task!$C$5:$C$404,G$3,Task!$K$5:$K$404,"Đang làm")&gt;0,"Đang làm","Chưa")))))</f>
        <v/>
      </c>
      <c r="H48" s="14" t="str">
        <f aca="false">IF($A48="","",IF((COUNTIFS(Task!$A$5:$A$404,$A48,Task!$C$5:$C$404,H$3)-COUNTIFS(Task!$A$5:$A$404,$A48,Task!$C$5:$C$404,H$3,Task!$K$5:$K$404,"Không áp dụng"))=0,"–",IF(COUNTIFS(Task!$A$5:$A$404,$A48,Task!$C$5:$C$404,H$3,Task!$K$5:$K$404,"Hoàn thành")=(COUNTIFS(Task!$A$5:$A$404,$A48,Task!$C$5:$C$404,H$3)-COUNTIFS(Task!$A$5:$A$404,$A48,Task!$C$5:$C$404,H$3,Task!$K$5:$K$404,"Không áp dụng")),"Xong",IF(COUNTIFS(Task!$A$5:$A$404,$A48,Task!$C$5:$C$404,H$3,Task!$K$5:$K$404,"Bị chặn")&gt;0,"Bị chặn",IF(COUNTIFS(Task!$A$5:$A$404,$A48,Task!$C$5:$C$404,H$3,Task!$K$5:$K$404,"Hoàn thành")+COUNTIFS(Task!$A$5:$A$404,$A48,Task!$C$5:$C$404,H$3,Task!$K$5:$K$404,"Đang làm")&gt;0,"Đang làm","Chưa")))))</f>
        <v/>
      </c>
      <c r="I48" s="14" t="str">
        <f aca="false">IF($A48="","",IF((COUNTIFS(Task!$A$5:$A$404,$A48,Task!$C$5:$C$404,I$3)-COUNTIFS(Task!$A$5:$A$404,$A48,Task!$C$5:$C$404,I$3,Task!$K$5:$K$404,"Không áp dụng"))=0,"–",IF(COUNTIFS(Task!$A$5:$A$404,$A48,Task!$C$5:$C$404,I$3,Task!$K$5:$K$404,"Hoàn thành")=(COUNTIFS(Task!$A$5:$A$404,$A48,Task!$C$5:$C$404,I$3)-COUNTIFS(Task!$A$5:$A$404,$A48,Task!$C$5:$C$404,I$3,Task!$K$5:$K$404,"Không áp dụng")),"Xong",IF(COUNTIFS(Task!$A$5:$A$404,$A48,Task!$C$5:$C$404,I$3,Task!$K$5:$K$404,"Bị chặn")&gt;0,"Bị chặn",IF(COUNTIFS(Task!$A$5:$A$404,$A48,Task!$C$5:$C$404,I$3,Task!$K$5:$K$404,"Hoàn thành")+COUNTIFS(Task!$A$5:$A$404,$A48,Task!$C$5:$C$404,I$3,Task!$K$5:$K$404,"Đang làm")&gt;0,"Đang làm","Chưa")))))</f>
        <v/>
      </c>
      <c r="J48" s="14" t="str">
        <f aca="false">IF($A48="","",IF((COUNTIFS(Task!$A$5:$A$404,$A48,Task!$C$5:$C$404,J$3)-COUNTIFS(Task!$A$5:$A$404,$A48,Task!$C$5:$C$404,J$3,Task!$K$5:$K$404,"Không áp dụng"))=0,"–",IF(COUNTIFS(Task!$A$5:$A$404,$A48,Task!$C$5:$C$404,J$3,Task!$K$5:$K$404,"Hoàn thành")=(COUNTIFS(Task!$A$5:$A$404,$A48,Task!$C$5:$C$404,J$3)-COUNTIFS(Task!$A$5:$A$404,$A48,Task!$C$5:$C$404,J$3,Task!$K$5:$K$404,"Không áp dụng")),"Xong",IF(COUNTIFS(Task!$A$5:$A$404,$A48,Task!$C$5:$C$404,J$3,Task!$K$5:$K$404,"Bị chặn")&gt;0,"Bị chặn",IF(COUNTIFS(Task!$A$5:$A$404,$A48,Task!$C$5:$C$404,J$3,Task!$K$5:$K$404,"Hoàn thành")+COUNTIFS(Task!$A$5:$A$404,$A48,Task!$C$5:$C$404,J$3,Task!$K$5:$K$404,"Đang làm")&gt;0,"Đang làm","Chưa")))))</f>
        <v/>
      </c>
      <c r="K48" s="14" t="str">
        <f aca="false">IF($A48="","",IF((COUNTIFS(Task!$A$5:$A$404,$A48,Task!$C$5:$C$404,K$3)-COUNTIFS(Task!$A$5:$A$404,$A48,Task!$C$5:$C$404,K$3,Task!$K$5:$K$404,"Không áp dụng"))=0,"–",IF(COUNTIFS(Task!$A$5:$A$404,$A48,Task!$C$5:$C$404,K$3,Task!$K$5:$K$404,"Hoàn thành")=(COUNTIFS(Task!$A$5:$A$404,$A48,Task!$C$5:$C$404,K$3)-COUNTIFS(Task!$A$5:$A$404,$A48,Task!$C$5:$C$404,K$3,Task!$K$5:$K$404,"Không áp dụng")),"Xong",IF(COUNTIFS(Task!$A$5:$A$404,$A48,Task!$C$5:$C$404,K$3,Task!$K$5:$K$404,"Bị chặn")&gt;0,"Bị chặn",IF(COUNTIFS(Task!$A$5:$A$404,$A48,Task!$C$5:$C$404,K$3,Task!$K$5:$K$404,"Hoàn thành")+COUNTIFS(Task!$A$5:$A$404,$A48,Task!$C$5:$C$404,K$3,Task!$K$5:$K$404,"Đang làm")&gt;0,"Đang làm","Chưa")))))</f>
        <v/>
      </c>
      <c r="L48" s="14" t="str">
        <f aca="false">IF($A48="","",IF((COUNTIFS(Task!$A$5:$A$404,$A48,Task!$C$5:$C$404,L$3)-COUNTIFS(Task!$A$5:$A$404,$A48,Task!$C$5:$C$404,L$3,Task!$K$5:$K$404,"Không áp dụng"))=0,"–",IF(COUNTIFS(Task!$A$5:$A$404,$A48,Task!$C$5:$C$404,L$3,Task!$K$5:$K$404,"Hoàn thành")=(COUNTIFS(Task!$A$5:$A$404,$A48,Task!$C$5:$C$404,L$3)-COUNTIFS(Task!$A$5:$A$404,$A48,Task!$C$5:$C$404,L$3,Task!$K$5:$K$404,"Không áp dụng")),"Xong",IF(COUNTIFS(Task!$A$5:$A$404,$A48,Task!$C$5:$C$404,L$3,Task!$K$5:$K$404,"Bị chặn")&gt;0,"Bị chặn",IF(COUNTIFS(Task!$A$5:$A$404,$A48,Task!$C$5:$C$404,L$3,Task!$K$5:$K$404,"Hoàn thành")+COUNTIFS(Task!$A$5:$A$404,$A48,Task!$C$5:$C$404,L$3,Task!$K$5:$K$404,"Đang làm")&gt;0,"Đang làm","Chưa")))))</f>
        <v/>
      </c>
      <c r="M48" s="14" t="str">
        <f aca="false">IF($A48="","",IF((COUNTIFS(Task!$A$5:$A$404,$A48,Task!$C$5:$C$404,M$3)-COUNTIFS(Task!$A$5:$A$404,$A48,Task!$C$5:$C$404,M$3,Task!$K$5:$K$404,"Không áp dụng"))=0,"–",IF(COUNTIFS(Task!$A$5:$A$404,$A48,Task!$C$5:$C$404,M$3,Task!$K$5:$K$404,"Hoàn thành")=(COUNTIFS(Task!$A$5:$A$404,$A48,Task!$C$5:$C$404,M$3)-COUNTIFS(Task!$A$5:$A$404,$A48,Task!$C$5:$C$404,M$3,Task!$K$5:$K$404,"Không áp dụng")),"Xong",IF(COUNTIFS(Task!$A$5:$A$404,$A48,Task!$C$5:$C$404,M$3,Task!$K$5:$K$404,"Bị chặn")&gt;0,"Bị chặn",IF(COUNTIFS(Task!$A$5:$A$404,$A48,Task!$C$5:$C$404,M$3,Task!$K$5:$K$404,"Hoàn thành")+COUNTIFS(Task!$A$5:$A$404,$A48,Task!$C$5:$C$404,M$3,Task!$K$5:$K$404,"Đang làm")&gt;0,"Đang làm","Chưa")))))</f>
        <v/>
      </c>
      <c r="N48" s="14" t="str">
        <f aca="false">IF($A48="","",IF(F48&lt;&gt;"Xong",1,IF(G48&lt;&gt;"Xong",2,IF(H48&lt;&gt;"Xong",3,IF(I48&lt;&gt;"Xong",4,IF(J48&lt;&gt;"Xong",5,IF(K48&lt;&gt;"Xong",6,IF(L48&lt;&gt;"Xong",7,IF(M48&lt;&gt;"Xong",8,9)))))))))</f>
        <v/>
      </c>
      <c r="O48" s="14" t="str">
        <f aca="false">IF($A48="","",IF($N48=9,"Hoàn tất",INDEX('Quy trình'!$B$5:$B$12,$N48)))</f>
        <v/>
      </c>
      <c r="P48" s="14" t="str">
        <f aca="false">IF($A48="","",COUNTIFS(Task!$A$5:$A$404,$A48)-COUNTIFS(Task!$A$5:$A$404,$A48,Task!$K$5:$K$404,"Không áp dụng"))</f>
        <v/>
      </c>
      <c r="Q48" s="14" t="str">
        <f aca="false">IF($A48="","",COUNTIFS(Task!$A$5:$A$404,$A48,Task!$K$5:$K$404,"Hoàn thành"))</f>
        <v/>
      </c>
      <c r="R48" s="16" t="str">
        <f aca="false">IF($A48="","",Q48/MAX(P48,COUNTA('Mẫu task'!$A$5:$A$64)))</f>
        <v/>
      </c>
      <c r="S48" s="14" t="str">
        <f aca="false">IF($A48="","",SUMIFS(Task!$O$5:$O$404,Task!$A$5:$A$404,$A48))</f>
        <v/>
      </c>
      <c r="T48" s="14" t="str">
        <f aca="false">IF($A48="","",COUNTIFS(Task!$A$5:$A$404,$A48,Task!$K$5:$K$404,"Bị chặn"))</f>
        <v/>
      </c>
      <c r="U48" s="14" t="str">
        <f aca="false">IF($A48="","",IF(P48=0,"Chưa có task",IF(T48&gt;0,"Bị chặn",IF(S48&gt;0,"Có việc trễ",IF(N48=9,"Hoàn tất","Đúng tiến độ")))))</f>
        <v/>
      </c>
      <c r="V48" s="14" t="str">
        <f aca="false">IF($A48="","",IFERROR(INDEX('Chấm điểm'!$D$16:$M$16,MATCH($A48,'Chấm điểm'!$D$4:$M$4,0)),""))</f>
        <v/>
      </c>
    </row>
    <row r="49" customFormat="false" ht="15" hidden="false" customHeight="false" outlineLevel="0" collapsed="false">
      <c r="A49" s="19"/>
      <c r="B49" s="19"/>
      <c r="C49" s="19"/>
      <c r="D49" s="19"/>
      <c r="E49" s="20"/>
      <c r="F49" s="14" t="str">
        <f aca="false">IF($A49="","",IF((COUNTIFS(Task!$A$5:$A$404,$A49,Task!$C$5:$C$404,F$3)-COUNTIFS(Task!$A$5:$A$404,$A49,Task!$C$5:$C$404,F$3,Task!$K$5:$K$404,"Không áp dụng"))=0,"–",IF(COUNTIFS(Task!$A$5:$A$404,$A49,Task!$C$5:$C$404,F$3,Task!$K$5:$K$404,"Hoàn thành")=(COUNTIFS(Task!$A$5:$A$404,$A49,Task!$C$5:$C$404,F$3)-COUNTIFS(Task!$A$5:$A$404,$A49,Task!$C$5:$C$404,F$3,Task!$K$5:$K$404,"Không áp dụng")),"Xong",IF(COUNTIFS(Task!$A$5:$A$404,$A49,Task!$C$5:$C$404,F$3,Task!$K$5:$K$404,"Bị chặn")&gt;0,"Bị chặn",IF(COUNTIFS(Task!$A$5:$A$404,$A49,Task!$C$5:$C$404,F$3,Task!$K$5:$K$404,"Hoàn thành")+COUNTIFS(Task!$A$5:$A$404,$A49,Task!$C$5:$C$404,F$3,Task!$K$5:$K$404,"Đang làm")&gt;0,"Đang làm","Chưa")))))</f>
        <v/>
      </c>
      <c r="G49" s="14" t="str">
        <f aca="false">IF($A49="","",IF((COUNTIFS(Task!$A$5:$A$404,$A49,Task!$C$5:$C$404,G$3)-COUNTIFS(Task!$A$5:$A$404,$A49,Task!$C$5:$C$404,G$3,Task!$K$5:$K$404,"Không áp dụng"))=0,"–",IF(COUNTIFS(Task!$A$5:$A$404,$A49,Task!$C$5:$C$404,G$3,Task!$K$5:$K$404,"Hoàn thành")=(COUNTIFS(Task!$A$5:$A$404,$A49,Task!$C$5:$C$404,G$3)-COUNTIFS(Task!$A$5:$A$404,$A49,Task!$C$5:$C$404,G$3,Task!$K$5:$K$404,"Không áp dụng")),"Xong",IF(COUNTIFS(Task!$A$5:$A$404,$A49,Task!$C$5:$C$404,G$3,Task!$K$5:$K$404,"Bị chặn")&gt;0,"Bị chặn",IF(COUNTIFS(Task!$A$5:$A$404,$A49,Task!$C$5:$C$404,G$3,Task!$K$5:$K$404,"Hoàn thành")+COUNTIFS(Task!$A$5:$A$404,$A49,Task!$C$5:$C$404,G$3,Task!$K$5:$K$404,"Đang làm")&gt;0,"Đang làm","Chưa")))))</f>
        <v/>
      </c>
      <c r="H49" s="14" t="str">
        <f aca="false">IF($A49="","",IF((COUNTIFS(Task!$A$5:$A$404,$A49,Task!$C$5:$C$404,H$3)-COUNTIFS(Task!$A$5:$A$404,$A49,Task!$C$5:$C$404,H$3,Task!$K$5:$K$404,"Không áp dụng"))=0,"–",IF(COUNTIFS(Task!$A$5:$A$404,$A49,Task!$C$5:$C$404,H$3,Task!$K$5:$K$404,"Hoàn thành")=(COUNTIFS(Task!$A$5:$A$404,$A49,Task!$C$5:$C$404,H$3)-COUNTIFS(Task!$A$5:$A$404,$A49,Task!$C$5:$C$404,H$3,Task!$K$5:$K$404,"Không áp dụng")),"Xong",IF(COUNTIFS(Task!$A$5:$A$404,$A49,Task!$C$5:$C$404,H$3,Task!$K$5:$K$404,"Bị chặn")&gt;0,"Bị chặn",IF(COUNTIFS(Task!$A$5:$A$404,$A49,Task!$C$5:$C$404,H$3,Task!$K$5:$K$404,"Hoàn thành")+COUNTIFS(Task!$A$5:$A$404,$A49,Task!$C$5:$C$404,H$3,Task!$K$5:$K$404,"Đang làm")&gt;0,"Đang làm","Chưa")))))</f>
        <v/>
      </c>
      <c r="I49" s="14" t="str">
        <f aca="false">IF($A49="","",IF((COUNTIFS(Task!$A$5:$A$404,$A49,Task!$C$5:$C$404,I$3)-COUNTIFS(Task!$A$5:$A$404,$A49,Task!$C$5:$C$404,I$3,Task!$K$5:$K$404,"Không áp dụng"))=0,"–",IF(COUNTIFS(Task!$A$5:$A$404,$A49,Task!$C$5:$C$404,I$3,Task!$K$5:$K$404,"Hoàn thành")=(COUNTIFS(Task!$A$5:$A$404,$A49,Task!$C$5:$C$404,I$3)-COUNTIFS(Task!$A$5:$A$404,$A49,Task!$C$5:$C$404,I$3,Task!$K$5:$K$404,"Không áp dụng")),"Xong",IF(COUNTIFS(Task!$A$5:$A$404,$A49,Task!$C$5:$C$404,I$3,Task!$K$5:$K$404,"Bị chặn")&gt;0,"Bị chặn",IF(COUNTIFS(Task!$A$5:$A$404,$A49,Task!$C$5:$C$404,I$3,Task!$K$5:$K$404,"Hoàn thành")+COUNTIFS(Task!$A$5:$A$404,$A49,Task!$C$5:$C$404,I$3,Task!$K$5:$K$404,"Đang làm")&gt;0,"Đang làm","Chưa")))))</f>
        <v/>
      </c>
      <c r="J49" s="14" t="str">
        <f aca="false">IF($A49="","",IF((COUNTIFS(Task!$A$5:$A$404,$A49,Task!$C$5:$C$404,J$3)-COUNTIFS(Task!$A$5:$A$404,$A49,Task!$C$5:$C$404,J$3,Task!$K$5:$K$404,"Không áp dụng"))=0,"–",IF(COUNTIFS(Task!$A$5:$A$404,$A49,Task!$C$5:$C$404,J$3,Task!$K$5:$K$404,"Hoàn thành")=(COUNTIFS(Task!$A$5:$A$404,$A49,Task!$C$5:$C$404,J$3)-COUNTIFS(Task!$A$5:$A$404,$A49,Task!$C$5:$C$404,J$3,Task!$K$5:$K$404,"Không áp dụng")),"Xong",IF(COUNTIFS(Task!$A$5:$A$404,$A49,Task!$C$5:$C$404,J$3,Task!$K$5:$K$404,"Bị chặn")&gt;0,"Bị chặn",IF(COUNTIFS(Task!$A$5:$A$404,$A49,Task!$C$5:$C$404,J$3,Task!$K$5:$K$404,"Hoàn thành")+COUNTIFS(Task!$A$5:$A$404,$A49,Task!$C$5:$C$404,J$3,Task!$K$5:$K$404,"Đang làm")&gt;0,"Đang làm","Chưa")))))</f>
        <v/>
      </c>
      <c r="K49" s="14" t="str">
        <f aca="false">IF($A49="","",IF((COUNTIFS(Task!$A$5:$A$404,$A49,Task!$C$5:$C$404,K$3)-COUNTIFS(Task!$A$5:$A$404,$A49,Task!$C$5:$C$404,K$3,Task!$K$5:$K$404,"Không áp dụng"))=0,"–",IF(COUNTIFS(Task!$A$5:$A$404,$A49,Task!$C$5:$C$404,K$3,Task!$K$5:$K$404,"Hoàn thành")=(COUNTIFS(Task!$A$5:$A$404,$A49,Task!$C$5:$C$404,K$3)-COUNTIFS(Task!$A$5:$A$404,$A49,Task!$C$5:$C$404,K$3,Task!$K$5:$K$404,"Không áp dụng")),"Xong",IF(COUNTIFS(Task!$A$5:$A$404,$A49,Task!$C$5:$C$404,K$3,Task!$K$5:$K$404,"Bị chặn")&gt;0,"Bị chặn",IF(COUNTIFS(Task!$A$5:$A$404,$A49,Task!$C$5:$C$404,K$3,Task!$K$5:$K$404,"Hoàn thành")+COUNTIFS(Task!$A$5:$A$404,$A49,Task!$C$5:$C$404,K$3,Task!$K$5:$K$404,"Đang làm")&gt;0,"Đang làm","Chưa")))))</f>
        <v/>
      </c>
      <c r="L49" s="14" t="str">
        <f aca="false">IF($A49="","",IF((COUNTIFS(Task!$A$5:$A$404,$A49,Task!$C$5:$C$404,L$3)-COUNTIFS(Task!$A$5:$A$404,$A49,Task!$C$5:$C$404,L$3,Task!$K$5:$K$404,"Không áp dụng"))=0,"–",IF(COUNTIFS(Task!$A$5:$A$404,$A49,Task!$C$5:$C$404,L$3,Task!$K$5:$K$404,"Hoàn thành")=(COUNTIFS(Task!$A$5:$A$404,$A49,Task!$C$5:$C$404,L$3)-COUNTIFS(Task!$A$5:$A$404,$A49,Task!$C$5:$C$404,L$3,Task!$K$5:$K$404,"Không áp dụng")),"Xong",IF(COUNTIFS(Task!$A$5:$A$404,$A49,Task!$C$5:$C$404,L$3,Task!$K$5:$K$404,"Bị chặn")&gt;0,"Bị chặn",IF(COUNTIFS(Task!$A$5:$A$404,$A49,Task!$C$5:$C$404,L$3,Task!$K$5:$K$404,"Hoàn thành")+COUNTIFS(Task!$A$5:$A$404,$A49,Task!$C$5:$C$404,L$3,Task!$K$5:$K$404,"Đang làm")&gt;0,"Đang làm","Chưa")))))</f>
        <v/>
      </c>
      <c r="M49" s="14" t="str">
        <f aca="false">IF($A49="","",IF((COUNTIFS(Task!$A$5:$A$404,$A49,Task!$C$5:$C$404,M$3)-COUNTIFS(Task!$A$5:$A$404,$A49,Task!$C$5:$C$404,M$3,Task!$K$5:$K$404,"Không áp dụng"))=0,"–",IF(COUNTIFS(Task!$A$5:$A$404,$A49,Task!$C$5:$C$404,M$3,Task!$K$5:$K$404,"Hoàn thành")=(COUNTIFS(Task!$A$5:$A$404,$A49,Task!$C$5:$C$404,M$3)-COUNTIFS(Task!$A$5:$A$404,$A49,Task!$C$5:$C$404,M$3,Task!$K$5:$K$404,"Không áp dụng")),"Xong",IF(COUNTIFS(Task!$A$5:$A$404,$A49,Task!$C$5:$C$404,M$3,Task!$K$5:$K$404,"Bị chặn")&gt;0,"Bị chặn",IF(COUNTIFS(Task!$A$5:$A$404,$A49,Task!$C$5:$C$404,M$3,Task!$K$5:$K$404,"Hoàn thành")+COUNTIFS(Task!$A$5:$A$404,$A49,Task!$C$5:$C$404,M$3,Task!$K$5:$K$404,"Đang làm")&gt;0,"Đang làm","Chưa")))))</f>
        <v/>
      </c>
      <c r="N49" s="14" t="str">
        <f aca="false">IF($A49="","",IF(F49&lt;&gt;"Xong",1,IF(G49&lt;&gt;"Xong",2,IF(H49&lt;&gt;"Xong",3,IF(I49&lt;&gt;"Xong",4,IF(J49&lt;&gt;"Xong",5,IF(K49&lt;&gt;"Xong",6,IF(L49&lt;&gt;"Xong",7,IF(M49&lt;&gt;"Xong",8,9)))))))))</f>
        <v/>
      </c>
      <c r="O49" s="14" t="str">
        <f aca="false">IF($A49="","",IF($N49=9,"Hoàn tất",INDEX('Quy trình'!$B$5:$B$12,$N49)))</f>
        <v/>
      </c>
      <c r="P49" s="14" t="str">
        <f aca="false">IF($A49="","",COUNTIFS(Task!$A$5:$A$404,$A49)-COUNTIFS(Task!$A$5:$A$404,$A49,Task!$K$5:$K$404,"Không áp dụng"))</f>
        <v/>
      </c>
      <c r="Q49" s="14" t="str">
        <f aca="false">IF($A49="","",COUNTIFS(Task!$A$5:$A$404,$A49,Task!$K$5:$K$404,"Hoàn thành"))</f>
        <v/>
      </c>
      <c r="R49" s="16" t="str">
        <f aca="false">IF($A49="","",Q49/MAX(P49,COUNTA('Mẫu task'!$A$5:$A$64)))</f>
        <v/>
      </c>
      <c r="S49" s="14" t="str">
        <f aca="false">IF($A49="","",SUMIFS(Task!$O$5:$O$404,Task!$A$5:$A$404,$A49))</f>
        <v/>
      </c>
      <c r="T49" s="14" t="str">
        <f aca="false">IF($A49="","",COUNTIFS(Task!$A$5:$A$404,$A49,Task!$K$5:$K$404,"Bị chặn"))</f>
        <v/>
      </c>
      <c r="U49" s="14" t="str">
        <f aca="false">IF($A49="","",IF(P49=0,"Chưa có task",IF(T49&gt;0,"Bị chặn",IF(S49&gt;0,"Có việc trễ",IF(N49=9,"Hoàn tất","Đúng tiến độ")))))</f>
        <v/>
      </c>
      <c r="V49" s="14" t="str">
        <f aca="false">IF($A49="","",IFERROR(INDEX('Chấm điểm'!$D$16:$M$16,MATCH($A49,'Chấm điểm'!$D$4:$M$4,0)),""))</f>
        <v/>
      </c>
    </row>
    <row r="50" customFormat="false" ht="15" hidden="false" customHeight="false" outlineLevel="0" collapsed="false">
      <c r="A50" s="19"/>
      <c r="B50" s="19"/>
      <c r="C50" s="19"/>
      <c r="D50" s="19"/>
      <c r="E50" s="20"/>
      <c r="F50" s="14" t="str">
        <f aca="false">IF($A50="","",IF((COUNTIFS(Task!$A$5:$A$404,$A50,Task!$C$5:$C$404,F$3)-COUNTIFS(Task!$A$5:$A$404,$A50,Task!$C$5:$C$404,F$3,Task!$K$5:$K$404,"Không áp dụng"))=0,"–",IF(COUNTIFS(Task!$A$5:$A$404,$A50,Task!$C$5:$C$404,F$3,Task!$K$5:$K$404,"Hoàn thành")=(COUNTIFS(Task!$A$5:$A$404,$A50,Task!$C$5:$C$404,F$3)-COUNTIFS(Task!$A$5:$A$404,$A50,Task!$C$5:$C$404,F$3,Task!$K$5:$K$404,"Không áp dụng")),"Xong",IF(COUNTIFS(Task!$A$5:$A$404,$A50,Task!$C$5:$C$404,F$3,Task!$K$5:$K$404,"Bị chặn")&gt;0,"Bị chặn",IF(COUNTIFS(Task!$A$5:$A$404,$A50,Task!$C$5:$C$404,F$3,Task!$K$5:$K$404,"Hoàn thành")+COUNTIFS(Task!$A$5:$A$404,$A50,Task!$C$5:$C$404,F$3,Task!$K$5:$K$404,"Đang làm")&gt;0,"Đang làm","Chưa")))))</f>
        <v/>
      </c>
      <c r="G50" s="14" t="str">
        <f aca="false">IF($A50="","",IF((COUNTIFS(Task!$A$5:$A$404,$A50,Task!$C$5:$C$404,G$3)-COUNTIFS(Task!$A$5:$A$404,$A50,Task!$C$5:$C$404,G$3,Task!$K$5:$K$404,"Không áp dụng"))=0,"–",IF(COUNTIFS(Task!$A$5:$A$404,$A50,Task!$C$5:$C$404,G$3,Task!$K$5:$K$404,"Hoàn thành")=(COUNTIFS(Task!$A$5:$A$404,$A50,Task!$C$5:$C$404,G$3)-COUNTIFS(Task!$A$5:$A$404,$A50,Task!$C$5:$C$404,G$3,Task!$K$5:$K$404,"Không áp dụng")),"Xong",IF(COUNTIFS(Task!$A$5:$A$404,$A50,Task!$C$5:$C$404,G$3,Task!$K$5:$K$404,"Bị chặn")&gt;0,"Bị chặn",IF(COUNTIFS(Task!$A$5:$A$404,$A50,Task!$C$5:$C$404,G$3,Task!$K$5:$K$404,"Hoàn thành")+COUNTIFS(Task!$A$5:$A$404,$A50,Task!$C$5:$C$404,G$3,Task!$K$5:$K$404,"Đang làm")&gt;0,"Đang làm","Chưa")))))</f>
        <v/>
      </c>
      <c r="H50" s="14" t="str">
        <f aca="false">IF($A50="","",IF((COUNTIFS(Task!$A$5:$A$404,$A50,Task!$C$5:$C$404,H$3)-COUNTIFS(Task!$A$5:$A$404,$A50,Task!$C$5:$C$404,H$3,Task!$K$5:$K$404,"Không áp dụng"))=0,"–",IF(COUNTIFS(Task!$A$5:$A$404,$A50,Task!$C$5:$C$404,H$3,Task!$K$5:$K$404,"Hoàn thành")=(COUNTIFS(Task!$A$5:$A$404,$A50,Task!$C$5:$C$404,H$3)-COUNTIFS(Task!$A$5:$A$404,$A50,Task!$C$5:$C$404,H$3,Task!$K$5:$K$404,"Không áp dụng")),"Xong",IF(COUNTIFS(Task!$A$5:$A$404,$A50,Task!$C$5:$C$404,H$3,Task!$K$5:$K$404,"Bị chặn")&gt;0,"Bị chặn",IF(COUNTIFS(Task!$A$5:$A$404,$A50,Task!$C$5:$C$404,H$3,Task!$K$5:$K$404,"Hoàn thành")+COUNTIFS(Task!$A$5:$A$404,$A50,Task!$C$5:$C$404,H$3,Task!$K$5:$K$404,"Đang làm")&gt;0,"Đang làm","Chưa")))))</f>
        <v/>
      </c>
      <c r="I50" s="14" t="str">
        <f aca="false">IF($A50="","",IF((COUNTIFS(Task!$A$5:$A$404,$A50,Task!$C$5:$C$404,I$3)-COUNTIFS(Task!$A$5:$A$404,$A50,Task!$C$5:$C$404,I$3,Task!$K$5:$K$404,"Không áp dụng"))=0,"–",IF(COUNTIFS(Task!$A$5:$A$404,$A50,Task!$C$5:$C$404,I$3,Task!$K$5:$K$404,"Hoàn thành")=(COUNTIFS(Task!$A$5:$A$404,$A50,Task!$C$5:$C$404,I$3)-COUNTIFS(Task!$A$5:$A$404,$A50,Task!$C$5:$C$404,I$3,Task!$K$5:$K$404,"Không áp dụng")),"Xong",IF(COUNTIFS(Task!$A$5:$A$404,$A50,Task!$C$5:$C$404,I$3,Task!$K$5:$K$404,"Bị chặn")&gt;0,"Bị chặn",IF(COUNTIFS(Task!$A$5:$A$404,$A50,Task!$C$5:$C$404,I$3,Task!$K$5:$K$404,"Hoàn thành")+COUNTIFS(Task!$A$5:$A$404,$A50,Task!$C$5:$C$404,I$3,Task!$K$5:$K$404,"Đang làm")&gt;0,"Đang làm","Chưa")))))</f>
        <v/>
      </c>
      <c r="J50" s="14" t="str">
        <f aca="false">IF($A50="","",IF((COUNTIFS(Task!$A$5:$A$404,$A50,Task!$C$5:$C$404,J$3)-COUNTIFS(Task!$A$5:$A$404,$A50,Task!$C$5:$C$404,J$3,Task!$K$5:$K$404,"Không áp dụng"))=0,"–",IF(COUNTIFS(Task!$A$5:$A$404,$A50,Task!$C$5:$C$404,J$3,Task!$K$5:$K$404,"Hoàn thành")=(COUNTIFS(Task!$A$5:$A$404,$A50,Task!$C$5:$C$404,J$3)-COUNTIFS(Task!$A$5:$A$404,$A50,Task!$C$5:$C$404,J$3,Task!$K$5:$K$404,"Không áp dụng")),"Xong",IF(COUNTIFS(Task!$A$5:$A$404,$A50,Task!$C$5:$C$404,J$3,Task!$K$5:$K$404,"Bị chặn")&gt;0,"Bị chặn",IF(COUNTIFS(Task!$A$5:$A$404,$A50,Task!$C$5:$C$404,J$3,Task!$K$5:$K$404,"Hoàn thành")+COUNTIFS(Task!$A$5:$A$404,$A50,Task!$C$5:$C$404,J$3,Task!$K$5:$K$404,"Đang làm")&gt;0,"Đang làm","Chưa")))))</f>
        <v/>
      </c>
      <c r="K50" s="14" t="str">
        <f aca="false">IF($A50="","",IF((COUNTIFS(Task!$A$5:$A$404,$A50,Task!$C$5:$C$404,K$3)-COUNTIFS(Task!$A$5:$A$404,$A50,Task!$C$5:$C$404,K$3,Task!$K$5:$K$404,"Không áp dụng"))=0,"–",IF(COUNTIFS(Task!$A$5:$A$404,$A50,Task!$C$5:$C$404,K$3,Task!$K$5:$K$404,"Hoàn thành")=(COUNTIFS(Task!$A$5:$A$404,$A50,Task!$C$5:$C$404,K$3)-COUNTIFS(Task!$A$5:$A$404,$A50,Task!$C$5:$C$404,K$3,Task!$K$5:$K$404,"Không áp dụng")),"Xong",IF(COUNTIFS(Task!$A$5:$A$404,$A50,Task!$C$5:$C$404,K$3,Task!$K$5:$K$404,"Bị chặn")&gt;0,"Bị chặn",IF(COUNTIFS(Task!$A$5:$A$404,$A50,Task!$C$5:$C$404,K$3,Task!$K$5:$K$404,"Hoàn thành")+COUNTIFS(Task!$A$5:$A$404,$A50,Task!$C$5:$C$404,K$3,Task!$K$5:$K$404,"Đang làm")&gt;0,"Đang làm","Chưa")))))</f>
        <v/>
      </c>
      <c r="L50" s="14" t="str">
        <f aca="false">IF($A50="","",IF((COUNTIFS(Task!$A$5:$A$404,$A50,Task!$C$5:$C$404,L$3)-COUNTIFS(Task!$A$5:$A$404,$A50,Task!$C$5:$C$404,L$3,Task!$K$5:$K$404,"Không áp dụng"))=0,"–",IF(COUNTIFS(Task!$A$5:$A$404,$A50,Task!$C$5:$C$404,L$3,Task!$K$5:$K$404,"Hoàn thành")=(COUNTIFS(Task!$A$5:$A$404,$A50,Task!$C$5:$C$404,L$3)-COUNTIFS(Task!$A$5:$A$404,$A50,Task!$C$5:$C$404,L$3,Task!$K$5:$K$404,"Không áp dụng")),"Xong",IF(COUNTIFS(Task!$A$5:$A$404,$A50,Task!$C$5:$C$404,L$3,Task!$K$5:$K$404,"Bị chặn")&gt;0,"Bị chặn",IF(COUNTIFS(Task!$A$5:$A$404,$A50,Task!$C$5:$C$404,L$3,Task!$K$5:$K$404,"Hoàn thành")+COUNTIFS(Task!$A$5:$A$404,$A50,Task!$C$5:$C$404,L$3,Task!$K$5:$K$404,"Đang làm")&gt;0,"Đang làm","Chưa")))))</f>
        <v/>
      </c>
      <c r="M50" s="14" t="str">
        <f aca="false">IF($A50="","",IF((COUNTIFS(Task!$A$5:$A$404,$A50,Task!$C$5:$C$404,M$3)-COUNTIFS(Task!$A$5:$A$404,$A50,Task!$C$5:$C$404,M$3,Task!$K$5:$K$404,"Không áp dụng"))=0,"–",IF(COUNTIFS(Task!$A$5:$A$404,$A50,Task!$C$5:$C$404,M$3,Task!$K$5:$K$404,"Hoàn thành")=(COUNTIFS(Task!$A$5:$A$404,$A50,Task!$C$5:$C$404,M$3)-COUNTIFS(Task!$A$5:$A$404,$A50,Task!$C$5:$C$404,M$3,Task!$K$5:$K$404,"Không áp dụng")),"Xong",IF(COUNTIFS(Task!$A$5:$A$404,$A50,Task!$C$5:$C$404,M$3,Task!$K$5:$K$404,"Bị chặn")&gt;0,"Bị chặn",IF(COUNTIFS(Task!$A$5:$A$404,$A50,Task!$C$5:$C$404,M$3,Task!$K$5:$K$404,"Hoàn thành")+COUNTIFS(Task!$A$5:$A$404,$A50,Task!$C$5:$C$404,M$3,Task!$K$5:$K$404,"Đang làm")&gt;0,"Đang làm","Chưa")))))</f>
        <v/>
      </c>
      <c r="N50" s="14" t="str">
        <f aca="false">IF($A50="","",IF(F50&lt;&gt;"Xong",1,IF(G50&lt;&gt;"Xong",2,IF(H50&lt;&gt;"Xong",3,IF(I50&lt;&gt;"Xong",4,IF(J50&lt;&gt;"Xong",5,IF(K50&lt;&gt;"Xong",6,IF(L50&lt;&gt;"Xong",7,IF(M50&lt;&gt;"Xong",8,9)))))))))</f>
        <v/>
      </c>
      <c r="O50" s="14" t="str">
        <f aca="false">IF($A50="","",IF($N50=9,"Hoàn tất",INDEX('Quy trình'!$B$5:$B$12,$N50)))</f>
        <v/>
      </c>
      <c r="P50" s="14" t="str">
        <f aca="false">IF($A50="","",COUNTIFS(Task!$A$5:$A$404,$A50)-COUNTIFS(Task!$A$5:$A$404,$A50,Task!$K$5:$K$404,"Không áp dụng"))</f>
        <v/>
      </c>
      <c r="Q50" s="14" t="str">
        <f aca="false">IF($A50="","",COUNTIFS(Task!$A$5:$A$404,$A50,Task!$K$5:$K$404,"Hoàn thành"))</f>
        <v/>
      </c>
      <c r="R50" s="16" t="str">
        <f aca="false">IF($A50="","",Q50/MAX(P50,COUNTA('Mẫu task'!$A$5:$A$64)))</f>
        <v/>
      </c>
      <c r="S50" s="14" t="str">
        <f aca="false">IF($A50="","",SUMIFS(Task!$O$5:$O$404,Task!$A$5:$A$404,$A50))</f>
        <v/>
      </c>
      <c r="T50" s="14" t="str">
        <f aca="false">IF($A50="","",COUNTIFS(Task!$A$5:$A$404,$A50,Task!$K$5:$K$404,"Bị chặn"))</f>
        <v/>
      </c>
      <c r="U50" s="14" t="str">
        <f aca="false">IF($A50="","",IF(P50=0,"Chưa có task",IF(T50&gt;0,"Bị chặn",IF(S50&gt;0,"Có việc trễ",IF(N50=9,"Hoàn tất","Đúng tiến độ")))))</f>
        <v/>
      </c>
      <c r="V50" s="14" t="str">
        <f aca="false">IF($A50="","",IFERROR(INDEX('Chấm điểm'!$D$16:$M$16,MATCH($A50,'Chấm điểm'!$D$4:$M$4,0)),""))</f>
        <v/>
      </c>
    </row>
    <row r="51" customFormat="false" ht="15" hidden="false" customHeight="false" outlineLevel="0" collapsed="false">
      <c r="A51" s="19"/>
      <c r="B51" s="19"/>
      <c r="C51" s="19"/>
      <c r="D51" s="19"/>
      <c r="E51" s="20"/>
      <c r="F51" s="14" t="str">
        <f aca="false">IF($A51="","",IF((COUNTIFS(Task!$A$5:$A$404,$A51,Task!$C$5:$C$404,F$3)-COUNTIFS(Task!$A$5:$A$404,$A51,Task!$C$5:$C$404,F$3,Task!$K$5:$K$404,"Không áp dụng"))=0,"–",IF(COUNTIFS(Task!$A$5:$A$404,$A51,Task!$C$5:$C$404,F$3,Task!$K$5:$K$404,"Hoàn thành")=(COUNTIFS(Task!$A$5:$A$404,$A51,Task!$C$5:$C$404,F$3)-COUNTIFS(Task!$A$5:$A$404,$A51,Task!$C$5:$C$404,F$3,Task!$K$5:$K$404,"Không áp dụng")),"Xong",IF(COUNTIFS(Task!$A$5:$A$404,$A51,Task!$C$5:$C$404,F$3,Task!$K$5:$K$404,"Bị chặn")&gt;0,"Bị chặn",IF(COUNTIFS(Task!$A$5:$A$404,$A51,Task!$C$5:$C$404,F$3,Task!$K$5:$K$404,"Hoàn thành")+COUNTIFS(Task!$A$5:$A$404,$A51,Task!$C$5:$C$404,F$3,Task!$K$5:$K$404,"Đang làm")&gt;0,"Đang làm","Chưa")))))</f>
        <v/>
      </c>
      <c r="G51" s="14" t="str">
        <f aca="false">IF($A51="","",IF((COUNTIFS(Task!$A$5:$A$404,$A51,Task!$C$5:$C$404,G$3)-COUNTIFS(Task!$A$5:$A$404,$A51,Task!$C$5:$C$404,G$3,Task!$K$5:$K$404,"Không áp dụng"))=0,"–",IF(COUNTIFS(Task!$A$5:$A$404,$A51,Task!$C$5:$C$404,G$3,Task!$K$5:$K$404,"Hoàn thành")=(COUNTIFS(Task!$A$5:$A$404,$A51,Task!$C$5:$C$404,G$3)-COUNTIFS(Task!$A$5:$A$404,$A51,Task!$C$5:$C$404,G$3,Task!$K$5:$K$404,"Không áp dụng")),"Xong",IF(COUNTIFS(Task!$A$5:$A$404,$A51,Task!$C$5:$C$404,G$3,Task!$K$5:$K$404,"Bị chặn")&gt;0,"Bị chặn",IF(COUNTIFS(Task!$A$5:$A$404,$A51,Task!$C$5:$C$404,G$3,Task!$K$5:$K$404,"Hoàn thành")+COUNTIFS(Task!$A$5:$A$404,$A51,Task!$C$5:$C$404,G$3,Task!$K$5:$K$404,"Đang làm")&gt;0,"Đang làm","Chưa")))))</f>
        <v/>
      </c>
      <c r="H51" s="14" t="str">
        <f aca="false">IF($A51="","",IF((COUNTIFS(Task!$A$5:$A$404,$A51,Task!$C$5:$C$404,H$3)-COUNTIFS(Task!$A$5:$A$404,$A51,Task!$C$5:$C$404,H$3,Task!$K$5:$K$404,"Không áp dụng"))=0,"–",IF(COUNTIFS(Task!$A$5:$A$404,$A51,Task!$C$5:$C$404,H$3,Task!$K$5:$K$404,"Hoàn thành")=(COUNTIFS(Task!$A$5:$A$404,$A51,Task!$C$5:$C$404,H$3)-COUNTIFS(Task!$A$5:$A$404,$A51,Task!$C$5:$C$404,H$3,Task!$K$5:$K$404,"Không áp dụng")),"Xong",IF(COUNTIFS(Task!$A$5:$A$404,$A51,Task!$C$5:$C$404,H$3,Task!$K$5:$K$404,"Bị chặn")&gt;0,"Bị chặn",IF(COUNTIFS(Task!$A$5:$A$404,$A51,Task!$C$5:$C$404,H$3,Task!$K$5:$K$404,"Hoàn thành")+COUNTIFS(Task!$A$5:$A$404,$A51,Task!$C$5:$C$404,H$3,Task!$K$5:$K$404,"Đang làm")&gt;0,"Đang làm","Chưa")))))</f>
        <v/>
      </c>
      <c r="I51" s="14" t="str">
        <f aca="false">IF($A51="","",IF((COUNTIFS(Task!$A$5:$A$404,$A51,Task!$C$5:$C$404,I$3)-COUNTIFS(Task!$A$5:$A$404,$A51,Task!$C$5:$C$404,I$3,Task!$K$5:$K$404,"Không áp dụng"))=0,"–",IF(COUNTIFS(Task!$A$5:$A$404,$A51,Task!$C$5:$C$404,I$3,Task!$K$5:$K$404,"Hoàn thành")=(COUNTIFS(Task!$A$5:$A$404,$A51,Task!$C$5:$C$404,I$3)-COUNTIFS(Task!$A$5:$A$404,$A51,Task!$C$5:$C$404,I$3,Task!$K$5:$K$404,"Không áp dụng")),"Xong",IF(COUNTIFS(Task!$A$5:$A$404,$A51,Task!$C$5:$C$404,I$3,Task!$K$5:$K$404,"Bị chặn")&gt;0,"Bị chặn",IF(COUNTIFS(Task!$A$5:$A$404,$A51,Task!$C$5:$C$404,I$3,Task!$K$5:$K$404,"Hoàn thành")+COUNTIFS(Task!$A$5:$A$404,$A51,Task!$C$5:$C$404,I$3,Task!$K$5:$K$404,"Đang làm")&gt;0,"Đang làm","Chưa")))))</f>
        <v/>
      </c>
      <c r="J51" s="14" t="str">
        <f aca="false">IF($A51="","",IF((COUNTIFS(Task!$A$5:$A$404,$A51,Task!$C$5:$C$404,J$3)-COUNTIFS(Task!$A$5:$A$404,$A51,Task!$C$5:$C$404,J$3,Task!$K$5:$K$404,"Không áp dụng"))=0,"–",IF(COUNTIFS(Task!$A$5:$A$404,$A51,Task!$C$5:$C$404,J$3,Task!$K$5:$K$404,"Hoàn thành")=(COUNTIFS(Task!$A$5:$A$404,$A51,Task!$C$5:$C$404,J$3)-COUNTIFS(Task!$A$5:$A$404,$A51,Task!$C$5:$C$404,J$3,Task!$K$5:$K$404,"Không áp dụng")),"Xong",IF(COUNTIFS(Task!$A$5:$A$404,$A51,Task!$C$5:$C$404,J$3,Task!$K$5:$K$404,"Bị chặn")&gt;0,"Bị chặn",IF(COUNTIFS(Task!$A$5:$A$404,$A51,Task!$C$5:$C$404,J$3,Task!$K$5:$K$404,"Hoàn thành")+COUNTIFS(Task!$A$5:$A$404,$A51,Task!$C$5:$C$404,J$3,Task!$K$5:$K$404,"Đang làm")&gt;0,"Đang làm","Chưa")))))</f>
        <v/>
      </c>
      <c r="K51" s="14" t="str">
        <f aca="false">IF($A51="","",IF((COUNTIFS(Task!$A$5:$A$404,$A51,Task!$C$5:$C$404,K$3)-COUNTIFS(Task!$A$5:$A$404,$A51,Task!$C$5:$C$404,K$3,Task!$K$5:$K$404,"Không áp dụng"))=0,"–",IF(COUNTIFS(Task!$A$5:$A$404,$A51,Task!$C$5:$C$404,K$3,Task!$K$5:$K$404,"Hoàn thành")=(COUNTIFS(Task!$A$5:$A$404,$A51,Task!$C$5:$C$404,K$3)-COUNTIFS(Task!$A$5:$A$404,$A51,Task!$C$5:$C$404,K$3,Task!$K$5:$K$404,"Không áp dụng")),"Xong",IF(COUNTIFS(Task!$A$5:$A$404,$A51,Task!$C$5:$C$404,K$3,Task!$K$5:$K$404,"Bị chặn")&gt;0,"Bị chặn",IF(COUNTIFS(Task!$A$5:$A$404,$A51,Task!$C$5:$C$404,K$3,Task!$K$5:$K$404,"Hoàn thành")+COUNTIFS(Task!$A$5:$A$404,$A51,Task!$C$5:$C$404,K$3,Task!$K$5:$K$404,"Đang làm")&gt;0,"Đang làm","Chưa")))))</f>
        <v/>
      </c>
      <c r="L51" s="14" t="str">
        <f aca="false">IF($A51="","",IF((COUNTIFS(Task!$A$5:$A$404,$A51,Task!$C$5:$C$404,L$3)-COUNTIFS(Task!$A$5:$A$404,$A51,Task!$C$5:$C$404,L$3,Task!$K$5:$K$404,"Không áp dụng"))=0,"–",IF(COUNTIFS(Task!$A$5:$A$404,$A51,Task!$C$5:$C$404,L$3,Task!$K$5:$K$404,"Hoàn thành")=(COUNTIFS(Task!$A$5:$A$404,$A51,Task!$C$5:$C$404,L$3)-COUNTIFS(Task!$A$5:$A$404,$A51,Task!$C$5:$C$404,L$3,Task!$K$5:$K$404,"Không áp dụng")),"Xong",IF(COUNTIFS(Task!$A$5:$A$404,$A51,Task!$C$5:$C$404,L$3,Task!$K$5:$K$404,"Bị chặn")&gt;0,"Bị chặn",IF(COUNTIFS(Task!$A$5:$A$404,$A51,Task!$C$5:$C$404,L$3,Task!$K$5:$K$404,"Hoàn thành")+COUNTIFS(Task!$A$5:$A$404,$A51,Task!$C$5:$C$404,L$3,Task!$K$5:$K$404,"Đang làm")&gt;0,"Đang làm","Chưa")))))</f>
        <v/>
      </c>
      <c r="M51" s="14" t="str">
        <f aca="false">IF($A51="","",IF((COUNTIFS(Task!$A$5:$A$404,$A51,Task!$C$5:$C$404,M$3)-COUNTIFS(Task!$A$5:$A$404,$A51,Task!$C$5:$C$404,M$3,Task!$K$5:$K$404,"Không áp dụng"))=0,"–",IF(COUNTIFS(Task!$A$5:$A$404,$A51,Task!$C$5:$C$404,M$3,Task!$K$5:$K$404,"Hoàn thành")=(COUNTIFS(Task!$A$5:$A$404,$A51,Task!$C$5:$C$404,M$3)-COUNTIFS(Task!$A$5:$A$404,$A51,Task!$C$5:$C$404,M$3,Task!$K$5:$K$404,"Không áp dụng")),"Xong",IF(COUNTIFS(Task!$A$5:$A$404,$A51,Task!$C$5:$C$404,M$3,Task!$K$5:$K$404,"Bị chặn")&gt;0,"Bị chặn",IF(COUNTIFS(Task!$A$5:$A$404,$A51,Task!$C$5:$C$404,M$3,Task!$K$5:$K$404,"Hoàn thành")+COUNTIFS(Task!$A$5:$A$404,$A51,Task!$C$5:$C$404,M$3,Task!$K$5:$K$404,"Đang làm")&gt;0,"Đang làm","Chưa")))))</f>
        <v/>
      </c>
      <c r="N51" s="14" t="str">
        <f aca="false">IF($A51="","",IF(F51&lt;&gt;"Xong",1,IF(G51&lt;&gt;"Xong",2,IF(H51&lt;&gt;"Xong",3,IF(I51&lt;&gt;"Xong",4,IF(J51&lt;&gt;"Xong",5,IF(K51&lt;&gt;"Xong",6,IF(L51&lt;&gt;"Xong",7,IF(M51&lt;&gt;"Xong",8,9)))))))))</f>
        <v/>
      </c>
      <c r="O51" s="14" t="str">
        <f aca="false">IF($A51="","",IF($N51=9,"Hoàn tất",INDEX('Quy trình'!$B$5:$B$12,$N51)))</f>
        <v/>
      </c>
      <c r="P51" s="14" t="str">
        <f aca="false">IF($A51="","",COUNTIFS(Task!$A$5:$A$404,$A51)-COUNTIFS(Task!$A$5:$A$404,$A51,Task!$K$5:$K$404,"Không áp dụng"))</f>
        <v/>
      </c>
      <c r="Q51" s="14" t="str">
        <f aca="false">IF($A51="","",COUNTIFS(Task!$A$5:$A$404,$A51,Task!$K$5:$K$404,"Hoàn thành"))</f>
        <v/>
      </c>
      <c r="R51" s="16" t="str">
        <f aca="false">IF($A51="","",Q51/MAX(P51,COUNTA('Mẫu task'!$A$5:$A$64)))</f>
        <v/>
      </c>
      <c r="S51" s="14" t="str">
        <f aca="false">IF($A51="","",SUMIFS(Task!$O$5:$O$404,Task!$A$5:$A$404,$A51))</f>
        <v/>
      </c>
      <c r="T51" s="14" t="str">
        <f aca="false">IF($A51="","",COUNTIFS(Task!$A$5:$A$404,$A51,Task!$K$5:$K$404,"Bị chặn"))</f>
        <v/>
      </c>
      <c r="U51" s="14" t="str">
        <f aca="false">IF($A51="","",IF(P51=0,"Chưa có task",IF(T51&gt;0,"Bị chặn",IF(S51&gt;0,"Có việc trễ",IF(N51=9,"Hoàn tất","Đúng tiến độ")))))</f>
        <v/>
      </c>
      <c r="V51" s="14" t="str">
        <f aca="false">IF($A51="","",IFERROR(INDEX('Chấm điểm'!$D$16:$M$16,MATCH($A51,'Chấm điểm'!$D$4:$M$4,0)),""))</f>
        <v/>
      </c>
    </row>
    <row r="52" customFormat="false" ht="15" hidden="false" customHeight="false" outlineLevel="0" collapsed="false">
      <c r="A52" s="19"/>
      <c r="B52" s="19"/>
      <c r="C52" s="19"/>
      <c r="D52" s="19"/>
      <c r="E52" s="20"/>
      <c r="F52" s="14" t="str">
        <f aca="false">IF($A52="","",IF((COUNTIFS(Task!$A$5:$A$404,$A52,Task!$C$5:$C$404,F$3)-COUNTIFS(Task!$A$5:$A$404,$A52,Task!$C$5:$C$404,F$3,Task!$K$5:$K$404,"Không áp dụng"))=0,"–",IF(COUNTIFS(Task!$A$5:$A$404,$A52,Task!$C$5:$C$404,F$3,Task!$K$5:$K$404,"Hoàn thành")=(COUNTIFS(Task!$A$5:$A$404,$A52,Task!$C$5:$C$404,F$3)-COUNTIFS(Task!$A$5:$A$404,$A52,Task!$C$5:$C$404,F$3,Task!$K$5:$K$404,"Không áp dụng")),"Xong",IF(COUNTIFS(Task!$A$5:$A$404,$A52,Task!$C$5:$C$404,F$3,Task!$K$5:$K$404,"Bị chặn")&gt;0,"Bị chặn",IF(COUNTIFS(Task!$A$5:$A$404,$A52,Task!$C$5:$C$404,F$3,Task!$K$5:$K$404,"Hoàn thành")+COUNTIFS(Task!$A$5:$A$404,$A52,Task!$C$5:$C$404,F$3,Task!$K$5:$K$404,"Đang làm")&gt;0,"Đang làm","Chưa")))))</f>
        <v/>
      </c>
      <c r="G52" s="14" t="str">
        <f aca="false">IF($A52="","",IF((COUNTIFS(Task!$A$5:$A$404,$A52,Task!$C$5:$C$404,G$3)-COUNTIFS(Task!$A$5:$A$404,$A52,Task!$C$5:$C$404,G$3,Task!$K$5:$K$404,"Không áp dụng"))=0,"–",IF(COUNTIFS(Task!$A$5:$A$404,$A52,Task!$C$5:$C$404,G$3,Task!$K$5:$K$404,"Hoàn thành")=(COUNTIFS(Task!$A$5:$A$404,$A52,Task!$C$5:$C$404,G$3)-COUNTIFS(Task!$A$5:$A$404,$A52,Task!$C$5:$C$404,G$3,Task!$K$5:$K$404,"Không áp dụng")),"Xong",IF(COUNTIFS(Task!$A$5:$A$404,$A52,Task!$C$5:$C$404,G$3,Task!$K$5:$K$404,"Bị chặn")&gt;0,"Bị chặn",IF(COUNTIFS(Task!$A$5:$A$404,$A52,Task!$C$5:$C$404,G$3,Task!$K$5:$K$404,"Hoàn thành")+COUNTIFS(Task!$A$5:$A$404,$A52,Task!$C$5:$C$404,G$3,Task!$K$5:$K$404,"Đang làm")&gt;0,"Đang làm","Chưa")))))</f>
        <v/>
      </c>
      <c r="H52" s="14" t="str">
        <f aca="false">IF($A52="","",IF((COUNTIFS(Task!$A$5:$A$404,$A52,Task!$C$5:$C$404,H$3)-COUNTIFS(Task!$A$5:$A$404,$A52,Task!$C$5:$C$404,H$3,Task!$K$5:$K$404,"Không áp dụng"))=0,"–",IF(COUNTIFS(Task!$A$5:$A$404,$A52,Task!$C$5:$C$404,H$3,Task!$K$5:$K$404,"Hoàn thành")=(COUNTIFS(Task!$A$5:$A$404,$A52,Task!$C$5:$C$404,H$3)-COUNTIFS(Task!$A$5:$A$404,$A52,Task!$C$5:$C$404,H$3,Task!$K$5:$K$404,"Không áp dụng")),"Xong",IF(COUNTIFS(Task!$A$5:$A$404,$A52,Task!$C$5:$C$404,H$3,Task!$K$5:$K$404,"Bị chặn")&gt;0,"Bị chặn",IF(COUNTIFS(Task!$A$5:$A$404,$A52,Task!$C$5:$C$404,H$3,Task!$K$5:$K$404,"Hoàn thành")+COUNTIFS(Task!$A$5:$A$404,$A52,Task!$C$5:$C$404,H$3,Task!$K$5:$K$404,"Đang làm")&gt;0,"Đang làm","Chưa")))))</f>
        <v/>
      </c>
      <c r="I52" s="14" t="str">
        <f aca="false">IF($A52="","",IF((COUNTIFS(Task!$A$5:$A$404,$A52,Task!$C$5:$C$404,I$3)-COUNTIFS(Task!$A$5:$A$404,$A52,Task!$C$5:$C$404,I$3,Task!$K$5:$K$404,"Không áp dụng"))=0,"–",IF(COUNTIFS(Task!$A$5:$A$404,$A52,Task!$C$5:$C$404,I$3,Task!$K$5:$K$404,"Hoàn thành")=(COUNTIFS(Task!$A$5:$A$404,$A52,Task!$C$5:$C$404,I$3)-COUNTIFS(Task!$A$5:$A$404,$A52,Task!$C$5:$C$404,I$3,Task!$K$5:$K$404,"Không áp dụng")),"Xong",IF(COUNTIFS(Task!$A$5:$A$404,$A52,Task!$C$5:$C$404,I$3,Task!$K$5:$K$404,"Bị chặn")&gt;0,"Bị chặn",IF(COUNTIFS(Task!$A$5:$A$404,$A52,Task!$C$5:$C$404,I$3,Task!$K$5:$K$404,"Hoàn thành")+COUNTIFS(Task!$A$5:$A$404,$A52,Task!$C$5:$C$404,I$3,Task!$K$5:$K$404,"Đang làm")&gt;0,"Đang làm","Chưa")))))</f>
        <v/>
      </c>
      <c r="J52" s="14" t="str">
        <f aca="false">IF($A52="","",IF((COUNTIFS(Task!$A$5:$A$404,$A52,Task!$C$5:$C$404,J$3)-COUNTIFS(Task!$A$5:$A$404,$A52,Task!$C$5:$C$404,J$3,Task!$K$5:$K$404,"Không áp dụng"))=0,"–",IF(COUNTIFS(Task!$A$5:$A$404,$A52,Task!$C$5:$C$404,J$3,Task!$K$5:$K$404,"Hoàn thành")=(COUNTIFS(Task!$A$5:$A$404,$A52,Task!$C$5:$C$404,J$3)-COUNTIFS(Task!$A$5:$A$404,$A52,Task!$C$5:$C$404,J$3,Task!$K$5:$K$404,"Không áp dụng")),"Xong",IF(COUNTIFS(Task!$A$5:$A$404,$A52,Task!$C$5:$C$404,J$3,Task!$K$5:$K$404,"Bị chặn")&gt;0,"Bị chặn",IF(COUNTIFS(Task!$A$5:$A$404,$A52,Task!$C$5:$C$404,J$3,Task!$K$5:$K$404,"Hoàn thành")+COUNTIFS(Task!$A$5:$A$404,$A52,Task!$C$5:$C$404,J$3,Task!$K$5:$K$404,"Đang làm")&gt;0,"Đang làm","Chưa")))))</f>
        <v/>
      </c>
      <c r="K52" s="14" t="str">
        <f aca="false">IF($A52="","",IF((COUNTIFS(Task!$A$5:$A$404,$A52,Task!$C$5:$C$404,K$3)-COUNTIFS(Task!$A$5:$A$404,$A52,Task!$C$5:$C$404,K$3,Task!$K$5:$K$404,"Không áp dụng"))=0,"–",IF(COUNTIFS(Task!$A$5:$A$404,$A52,Task!$C$5:$C$404,K$3,Task!$K$5:$K$404,"Hoàn thành")=(COUNTIFS(Task!$A$5:$A$404,$A52,Task!$C$5:$C$404,K$3)-COUNTIFS(Task!$A$5:$A$404,$A52,Task!$C$5:$C$404,K$3,Task!$K$5:$K$404,"Không áp dụng")),"Xong",IF(COUNTIFS(Task!$A$5:$A$404,$A52,Task!$C$5:$C$404,K$3,Task!$K$5:$K$404,"Bị chặn")&gt;0,"Bị chặn",IF(COUNTIFS(Task!$A$5:$A$404,$A52,Task!$C$5:$C$404,K$3,Task!$K$5:$K$404,"Hoàn thành")+COUNTIFS(Task!$A$5:$A$404,$A52,Task!$C$5:$C$404,K$3,Task!$K$5:$K$404,"Đang làm")&gt;0,"Đang làm","Chưa")))))</f>
        <v/>
      </c>
      <c r="L52" s="14" t="str">
        <f aca="false">IF($A52="","",IF((COUNTIFS(Task!$A$5:$A$404,$A52,Task!$C$5:$C$404,L$3)-COUNTIFS(Task!$A$5:$A$404,$A52,Task!$C$5:$C$404,L$3,Task!$K$5:$K$404,"Không áp dụng"))=0,"–",IF(COUNTIFS(Task!$A$5:$A$404,$A52,Task!$C$5:$C$404,L$3,Task!$K$5:$K$404,"Hoàn thành")=(COUNTIFS(Task!$A$5:$A$404,$A52,Task!$C$5:$C$404,L$3)-COUNTIFS(Task!$A$5:$A$404,$A52,Task!$C$5:$C$404,L$3,Task!$K$5:$K$404,"Không áp dụng")),"Xong",IF(COUNTIFS(Task!$A$5:$A$404,$A52,Task!$C$5:$C$404,L$3,Task!$K$5:$K$404,"Bị chặn")&gt;0,"Bị chặn",IF(COUNTIFS(Task!$A$5:$A$404,$A52,Task!$C$5:$C$404,L$3,Task!$K$5:$K$404,"Hoàn thành")+COUNTIFS(Task!$A$5:$A$404,$A52,Task!$C$5:$C$404,L$3,Task!$K$5:$K$404,"Đang làm")&gt;0,"Đang làm","Chưa")))))</f>
        <v/>
      </c>
      <c r="M52" s="14" t="str">
        <f aca="false">IF($A52="","",IF((COUNTIFS(Task!$A$5:$A$404,$A52,Task!$C$5:$C$404,M$3)-COUNTIFS(Task!$A$5:$A$404,$A52,Task!$C$5:$C$404,M$3,Task!$K$5:$K$404,"Không áp dụng"))=0,"–",IF(COUNTIFS(Task!$A$5:$A$404,$A52,Task!$C$5:$C$404,M$3,Task!$K$5:$K$404,"Hoàn thành")=(COUNTIFS(Task!$A$5:$A$404,$A52,Task!$C$5:$C$404,M$3)-COUNTIFS(Task!$A$5:$A$404,$A52,Task!$C$5:$C$404,M$3,Task!$K$5:$K$404,"Không áp dụng")),"Xong",IF(COUNTIFS(Task!$A$5:$A$404,$A52,Task!$C$5:$C$404,M$3,Task!$K$5:$K$404,"Bị chặn")&gt;0,"Bị chặn",IF(COUNTIFS(Task!$A$5:$A$404,$A52,Task!$C$5:$C$404,M$3,Task!$K$5:$K$404,"Hoàn thành")+COUNTIFS(Task!$A$5:$A$404,$A52,Task!$C$5:$C$404,M$3,Task!$K$5:$K$404,"Đang làm")&gt;0,"Đang làm","Chưa")))))</f>
        <v/>
      </c>
      <c r="N52" s="14" t="str">
        <f aca="false">IF($A52="","",IF(F52&lt;&gt;"Xong",1,IF(G52&lt;&gt;"Xong",2,IF(H52&lt;&gt;"Xong",3,IF(I52&lt;&gt;"Xong",4,IF(J52&lt;&gt;"Xong",5,IF(K52&lt;&gt;"Xong",6,IF(L52&lt;&gt;"Xong",7,IF(M52&lt;&gt;"Xong",8,9)))))))))</f>
        <v/>
      </c>
      <c r="O52" s="14" t="str">
        <f aca="false">IF($A52="","",IF($N52=9,"Hoàn tất",INDEX('Quy trình'!$B$5:$B$12,$N52)))</f>
        <v/>
      </c>
      <c r="P52" s="14" t="str">
        <f aca="false">IF($A52="","",COUNTIFS(Task!$A$5:$A$404,$A52)-COUNTIFS(Task!$A$5:$A$404,$A52,Task!$K$5:$K$404,"Không áp dụng"))</f>
        <v/>
      </c>
      <c r="Q52" s="14" t="str">
        <f aca="false">IF($A52="","",COUNTIFS(Task!$A$5:$A$404,$A52,Task!$K$5:$K$404,"Hoàn thành"))</f>
        <v/>
      </c>
      <c r="R52" s="16" t="str">
        <f aca="false">IF($A52="","",Q52/MAX(P52,COUNTA('Mẫu task'!$A$5:$A$64)))</f>
        <v/>
      </c>
      <c r="S52" s="14" t="str">
        <f aca="false">IF($A52="","",SUMIFS(Task!$O$5:$O$404,Task!$A$5:$A$404,$A52))</f>
        <v/>
      </c>
      <c r="T52" s="14" t="str">
        <f aca="false">IF($A52="","",COUNTIFS(Task!$A$5:$A$404,$A52,Task!$K$5:$K$404,"Bị chặn"))</f>
        <v/>
      </c>
      <c r="U52" s="14" t="str">
        <f aca="false">IF($A52="","",IF(P52=0,"Chưa có task",IF(T52&gt;0,"Bị chặn",IF(S52&gt;0,"Có việc trễ",IF(N52=9,"Hoàn tất","Đúng tiến độ")))))</f>
        <v/>
      </c>
      <c r="V52" s="14" t="str">
        <f aca="false">IF($A52="","",IFERROR(INDEX('Chấm điểm'!$D$16:$M$16,MATCH($A52,'Chấm điểm'!$D$4:$M$4,0)),""))</f>
        <v/>
      </c>
    </row>
    <row r="53" customFormat="false" ht="15" hidden="false" customHeight="false" outlineLevel="0" collapsed="false">
      <c r="A53" s="19"/>
      <c r="B53" s="19"/>
      <c r="C53" s="19"/>
      <c r="D53" s="19"/>
      <c r="E53" s="20"/>
      <c r="F53" s="14" t="str">
        <f aca="false">IF($A53="","",IF((COUNTIFS(Task!$A$5:$A$404,$A53,Task!$C$5:$C$404,F$3)-COUNTIFS(Task!$A$5:$A$404,$A53,Task!$C$5:$C$404,F$3,Task!$K$5:$K$404,"Không áp dụng"))=0,"–",IF(COUNTIFS(Task!$A$5:$A$404,$A53,Task!$C$5:$C$404,F$3,Task!$K$5:$K$404,"Hoàn thành")=(COUNTIFS(Task!$A$5:$A$404,$A53,Task!$C$5:$C$404,F$3)-COUNTIFS(Task!$A$5:$A$404,$A53,Task!$C$5:$C$404,F$3,Task!$K$5:$K$404,"Không áp dụng")),"Xong",IF(COUNTIFS(Task!$A$5:$A$404,$A53,Task!$C$5:$C$404,F$3,Task!$K$5:$K$404,"Bị chặn")&gt;0,"Bị chặn",IF(COUNTIFS(Task!$A$5:$A$404,$A53,Task!$C$5:$C$404,F$3,Task!$K$5:$K$404,"Hoàn thành")+COUNTIFS(Task!$A$5:$A$404,$A53,Task!$C$5:$C$404,F$3,Task!$K$5:$K$404,"Đang làm")&gt;0,"Đang làm","Chưa")))))</f>
        <v/>
      </c>
      <c r="G53" s="14" t="str">
        <f aca="false">IF($A53="","",IF((COUNTIFS(Task!$A$5:$A$404,$A53,Task!$C$5:$C$404,G$3)-COUNTIFS(Task!$A$5:$A$404,$A53,Task!$C$5:$C$404,G$3,Task!$K$5:$K$404,"Không áp dụng"))=0,"–",IF(COUNTIFS(Task!$A$5:$A$404,$A53,Task!$C$5:$C$404,G$3,Task!$K$5:$K$404,"Hoàn thành")=(COUNTIFS(Task!$A$5:$A$404,$A53,Task!$C$5:$C$404,G$3)-COUNTIFS(Task!$A$5:$A$404,$A53,Task!$C$5:$C$404,G$3,Task!$K$5:$K$404,"Không áp dụng")),"Xong",IF(COUNTIFS(Task!$A$5:$A$404,$A53,Task!$C$5:$C$404,G$3,Task!$K$5:$K$404,"Bị chặn")&gt;0,"Bị chặn",IF(COUNTIFS(Task!$A$5:$A$404,$A53,Task!$C$5:$C$404,G$3,Task!$K$5:$K$404,"Hoàn thành")+COUNTIFS(Task!$A$5:$A$404,$A53,Task!$C$5:$C$404,G$3,Task!$K$5:$K$404,"Đang làm")&gt;0,"Đang làm","Chưa")))))</f>
        <v/>
      </c>
      <c r="H53" s="14" t="str">
        <f aca="false">IF($A53="","",IF((COUNTIFS(Task!$A$5:$A$404,$A53,Task!$C$5:$C$404,H$3)-COUNTIFS(Task!$A$5:$A$404,$A53,Task!$C$5:$C$404,H$3,Task!$K$5:$K$404,"Không áp dụng"))=0,"–",IF(COUNTIFS(Task!$A$5:$A$404,$A53,Task!$C$5:$C$404,H$3,Task!$K$5:$K$404,"Hoàn thành")=(COUNTIFS(Task!$A$5:$A$404,$A53,Task!$C$5:$C$404,H$3)-COUNTIFS(Task!$A$5:$A$404,$A53,Task!$C$5:$C$404,H$3,Task!$K$5:$K$404,"Không áp dụng")),"Xong",IF(COUNTIFS(Task!$A$5:$A$404,$A53,Task!$C$5:$C$404,H$3,Task!$K$5:$K$404,"Bị chặn")&gt;0,"Bị chặn",IF(COUNTIFS(Task!$A$5:$A$404,$A53,Task!$C$5:$C$404,H$3,Task!$K$5:$K$404,"Hoàn thành")+COUNTIFS(Task!$A$5:$A$404,$A53,Task!$C$5:$C$404,H$3,Task!$K$5:$K$404,"Đang làm")&gt;0,"Đang làm","Chưa")))))</f>
        <v/>
      </c>
      <c r="I53" s="14" t="str">
        <f aca="false">IF($A53="","",IF((COUNTIFS(Task!$A$5:$A$404,$A53,Task!$C$5:$C$404,I$3)-COUNTIFS(Task!$A$5:$A$404,$A53,Task!$C$5:$C$404,I$3,Task!$K$5:$K$404,"Không áp dụng"))=0,"–",IF(COUNTIFS(Task!$A$5:$A$404,$A53,Task!$C$5:$C$404,I$3,Task!$K$5:$K$404,"Hoàn thành")=(COUNTIFS(Task!$A$5:$A$404,$A53,Task!$C$5:$C$404,I$3)-COUNTIFS(Task!$A$5:$A$404,$A53,Task!$C$5:$C$404,I$3,Task!$K$5:$K$404,"Không áp dụng")),"Xong",IF(COUNTIFS(Task!$A$5:$A$404,$A53,Task!$C$5:$C$404,I$3,Task!$K$5:$K$404,"Bị chặn")&gt;0,"Bị chặn",IF(COUNTIFS(Task!$A$5:$A$404,$A53,Task!$C$5:$C$404,I$3,Task!$K$5:$K$404,"Hoàn thành")+COUNTIFS(Task!$A$5:$A$404,$A53,Task!$C$5:$C$404,I$3,Task!$K$5:$K$404,"Đang làm")&gt;0,"Đang làm","Chưa")))))</f>
        <v/>
      </c>
      <c r="J53" s="14" t="str">
        <f aca="false">IF($A53="","",IF((COUNTIFS(Task!$A$5:$A$404,$A53,Task!$C$5:$C$404,J$3)-COUNTIFS(Task!$A$5:$A$404,$A53,Task!$C$5:$C$404,J$3,Task!$K$5:$K$404,"Không áp dụng"))=0,"–",IF(COUNTIFS(Task!$A$5:$A$404,$A53,Task!$C$5:$C$404,J$3,Task!$K$5:$K$404,"Hoàn thành")=(COUNTIFS(Task!$A$5:$A$404,$A53,Task!$C$5:$C$404,J$3)-COUNTIFS(Task!$A$5:$A$404,$A53,Task!$C$5:$C$404,J$3,Task!$K$5:$K$404,"Không áp dụng")),"Xong",IF(COUNTIFS(Task!$A$5:$A$404,$A53,Task!$C$5:$C$404,J$3,Task!$K$5:$K$404,"Bị chặn")&gt;0,"Bị chặn",IF(COUNTIFS(Task!$A$5:$A$404,$A53,Task!$C$5:$C$404,J$3,Task!$K$5:$K$404,"Hoàn thành")+COUNTIFS(Task!$A$5:$A$404,$A53,Task!$C$5:$C$404,J$3,Task!$K$5:$K$404,"Đang làm")&gt;0,"Đang làm","Chưa")))))</f>
        <v/>
      </c>
      <c r="K53" s="14" t="str">
        <f aca="false">IF($A53="","",IF((COUNTIFS(Task!$A$5:$A$404,$A53,Task!$C$5:$C$404,K$3)-COUNTIFS(Task!$A$5:$A$404,$A53,Task!$C$5:$C$404,K$3,Task!$K$5:$K$404,"Không áp dụng"))=0,"–",IF(COUNTIFS(Task!$A$5:$A$404,$A53,Task!$C$5:$C$404,K$3,Task!$K$5:$K$404,"Hoàn thành")=(COUNTIFS(Task!$A$5:$A$404,$A53,Task!$C$5:$C$404,K$3)-COUNTIFS(Task!$A$5:$A$404,$A53,Task!$C$5:$C$404,K$3,Task!$K$5:$K$404,"Không áp dụng")),"Xong",IF(COUNTIFS(Task!$A$5:$A$404,$A53,Task!$C$5:$C$404,K$3,Task!$K$5:$K$404,"Bị chặn")&gt;0,"Bị chặn",IF(COUNTIFS(Task!$A$5:$A$404,$A53,Task!$C$5:$C$404,K$3,Task!$K$5:$K$404,"Hoàn thành")+COUNTIFS(Task!$A$5:$A$404,$A53,Task!$C$5:$C$404,K$3,Task!$K$5:$K$404,"Đang làm")&gt;0,"Đang làm","Chưa")))))</f>
        <v/>
      </c>
      <c r="L53" s="14" t="str">
        <f aca="false">IF($A53="","",IF((COUNTIFS(Task!$A$5:$A$404,$A53,Task!$C$5:$C$404,L$3)-COUNTIFS(Task!$A$5:$A$404,$A53,Task!$C$5:$C$404,L$3,Task!$K$5:$K$404,"Không áp dụng"))=0,"–",IF(COUNTIFS(Task!$A$5:$A$404,$A53,Task!$C$5:$C$404,L$3,Task!$K$5:$K$404,"Hoàn thành")=(COUNTIFS(Task!$A$5:$A$404,$A53,Task!$C$5:$C$404,L$3)-COUNTIFS(Task!$A$5:$A$404,$A53,Task!$C$5:$C$404,L$3,Task!$K$5:$K$404,"Không áp dụng")),"Xong",IF(COUNTIFS(Task!$A$5:$A$404,$A53,Task!$C$5:$C$404,L$3,Task!$K$5:$K$404,"Bị chặn")&gt;0,"Bị chặn",IF(COUNTIFS(Task!$A$5:$A$404,$A53,Task!$C$5:$C$404,L$3,Task!$K$5:$K$404,"Hoàn thành")+COUNTIFS(Task!$A$5:$A$404,$A53,Task!$C$5:$C$404,L$3,Task!$K$5:$K$404,"Đang làm")&gt;0,"Đang làm","Chưa")))))</f>
        <v/>
      </c>
      <c r="M53" s="14" t="str">
        <f aca="false">IF($A53="","",IF((COUNTIFS(Task!$A$5:$A$404,$A53,Task!$C$5:$C$404,M$3)-COUNTIFS(Task!$A$5:$A$404,$A53,Task!$C$5:$C$404,M$3,Task!$K$5:$K$404,"Không áp dụng"))=0,"–",IF(COUNTIFS(Task!$A$5:$A$404,$A53,Task!$C$5:$C$404,M$3,Task!$K$5:$K$404,"Hoàn thành")=(COUNTIFS(Task!$A$5:$A$404,$A53,Task!$C$5:$C$404,M$3)-COUNTIFS(Task!$A$5:$A$404,$A53,Task!$C$5:$C$404,M$3,Task!$K$5:$K$404,"Không áp dụng")),"Xong",IF(COUNTIFS(Task!$A$5:$A$404,$A53,Task!$C$5:$C$404,M$3,Task!$K$5:$K$404,"Bị chặn")&gt;0,"Bị chặn",IF(COUNTIFS(Task!$A$5:$A$404,$A53,Task!$C$5:$C$404,M$3,Task!$K$5:$K$404,"Hoàn thành")+COUNTIFS(Task!$A$5:$A$404,$A53,Task!$C$5:$C$404,M$3,Task!$K$5:$K$404,"Đang làm")&gt;0,"Đang làm","Chưa")))))</f>
        <v/>
      </c>
      <c r="N53" s="14" t="str">
        <f aca="false">IF($A53="","",IF(F53&lt;&gt;"Xong",1,IF(G53&lt;&gt;"Xong",2,IF(H53&lt;&gt;"Xong",3,IF(I53&lt;&gt;"Xong",4,IF(J53&lt;&gt;"Xong",5,IF(K53&lt;&gt;"Xong",6,IF(L53&lt;&gt;"Xong",7,IF(M53&lt;&gt;"Xong",8,9)))))))))</f>
        <v/>
      </c>
      <c r="O53" s="14" t="str">
        <f aca="false">IF($A53="","",IF($N53=9,"Hoàn tất",INDEX('Quy trình'!$B$5:$B$12,$N53)))</f>
        <v/>
      </c>
      <c r="P53" s="14" t="str">
        <f aca="false">IF($A53="","",COUNTIFS(Task!$A$5:$A$404,$A53)-COUNTIFS(Task!$A$5:$A$404,$A53,Task!$K$5:$K$404,"Không áp dụng"))</f>
        <v/>
      </c>
      <c r="Q53" s="14" t="str">
        <f aca="false">IF($A53="","",COUNTIFS(Task!$A$5:$A$404,$A53,Task!$K$5:$K$404,"Hoàn thành"))</f>
        <v/>
      </c>
      <c r="R53" s="16" t="str">
        <f aca="false">IF($A53="","",Q53/MAX(P53,COUNTA('Mẫu task'!$A$5:$A$64)))</f>
        <v/>
      </c>
      <c r="S53" s="14" t="str">
        <f aca="false">IF($A53="","",SUMIFS(Task!$O$5:$O$404,Task!$A$5:$A$404,$A53))</f>
        <v/>
      </c>
      <c r="T53" s="14" t="str">
        <f aca="false">IF($A53="","",COUNTIFS(Task!$A$5:$A$404,$A53,Task!$K$5:$K$404,"Bị chặn"))</f>
        <v/>
      </c>
      <c r="U53" s="14" t="str">
        <f aca="false">IF($A53="","",IF(P53=0,"Chưa có task",IF(T53&gt;0,"Bị chặn",IF(S53&gt;0,"Có việc trễ",IF(N53=9,"Hoàn tất","Đúng tiến độ")))))</f>
        <v/>
      </c>
      <c r="V53" s="14" t="str">
        <f aca="false">IF($A53="","",IFERROR(INDEX('Chấm điểm'!$D$16:$M$16,MATCH($A53,'Chấm điểm'!$D$4:$M$4,0)),""))</f>
        <v/>
      </c>
    </row>
    <row r="54" customFormat="false" ht="15" hidden="false" customHeight="false" outlineLevel="0" collapsed="false">
      <c r="A54" s="19"/>
      <c r="B54" s="19"/>
      <c r="C54" s="19"/>
      <c r="D54" s="19"/>
      <c r="E54" s="20"/>
      <c r="F54" s="14" t="str">
        <f aca="false">IF($A54="","",IF((COUNTIFS(Task!$A$5:$A$404,$A54,Task!$C$5:$C$404,F$3)-COUNTIFS(Task!$A$5:$A$404,$A54,Task!$C$5:$C$404,F$3,Task!$K$5:$K$404,"Không áp dụng"))=0,"–",IF(COUNTIFS(Task!$A$5:$A$404,$A54,Task!$C$5:$C$404,F$3,Task!$K$5:$K$404,"Hoàn thành")=(COUNTIFS(Task!$A$5:$A$404,$A54,Task!$C$5:$C$404,F$3)-COUNTIFS(Task!$A$5:$A$404,$A54,Task!$C$5:$C$404,F$3,Task!$K$5:$K$404,"Không áp dụng")),"Xong",IF(COUNTIFS(Task!$A$5:$A$404,$A54,Task!$C$5:$C$404,F$3,Task!$K$5:$K$404,"Bị chặn")&gt;0,"Bị chặn",IF(COUNTIFS(Task!$A$5:$A$404,$A54,Task!$C$5:$C$404,F$3,Task!$K$5:$K$404,"Hoàn thành")+COUNTIFS(Task!$A$5:$A$404,$A54,Task!$C$5:$C$404,F$3,Task!$K$5:$K$404,"Đang làm")&gt;0,"Đang làm","Chưa")))))</f>
        <v/>
      </c>
      <c r="G54" s="14" t="str">
        <f aca="false">IF($A54="","",IF((COUNTIFS(Task!$A$5:$A$404,$A54,Task!$C$5:$C$404,G$3)-COUNTIFS(Task!$A$5:$A$404,$A54,Task!$C$5:$C$404,G$3,Task!$K$5:$K$404,"Không áp dụng"))=0,"–",IF(COUNTIFS(Task!$A$5:$A$404,$A54,Task!$C$5:$C$404,G$3,Task!$K$5:$K$404,"Hoàn thành")=(COUNTIFS(Task!$A$5:$A$404,$A54,Task!$C$5:$C$404,G$3)-COUNTIFS(Task!$A$5:$A$404,$A54,Task!$C$5:$C$404,G$3,Task!$K$5:$K$404,"Không áp dụng")),"Xong",IF(COUNTIFS(Task!$A$5:$A$404,$A54,Task!$C$5:$C$404,G$3,Task!$K$5:$K$404,"Bị chặn")&gt;0,"Bị chặn",IF(COUNTIFS(Task!$A$5:$A$404,$A54,Task!$C$5:$C$404,G$3,Task!$K$5:$K$404,"Hoàn thành")+COUNTIFS(Task!$A$5:$A$404,$A54,Task!$C$5:$C$404,G$3,Task!$K$5:$K$404,"Đang làm")&gt;0,"Đang làm","Chưa")))))</f>
        <v/>
      </c>
      <c r="H54" s="14" t="str">
        <f aca="false">IF($A54="","",IF((COUNTIFS(Task!$A$5:$A$404,$A54,Task!$C$5:$C$404,H$3)-COUNTIFS(Task!$A$5:$A$404,$A54,Task!$C$5:$C$404,H$3,Task!$K$5:$K$404,"Không áp dụng"))=0,"–",IF(COUNTIFS(Task!$A$5:$A$404,$A54,Task!$C$5:$C$404,H$3,Task!$K$5:$K$404,"Hoàn thành")=(COUNTIFS(Task!$A$5:$A$404,$A54,Task!$C$5:$C$404,H$3)-COUNTIFS(Task!$A$5:$A$404,$A54,Task!$C$5:$C$404,H$3,Task!$K$5:$K$404,"Không áp dụng")),"Xong",IF(COUNTIFS(Task!$A$5:$A$404,$A54,Task!$C$5:$C$404,H$3,Task!$K$5:$K$404,"Bị chặn")&gt;0,"Bị chặn",IF(COUNTIFS(Task!$A$5:$A$404,$A54,Task!$C$5:$C$404,H$3,Task!$K$5:$K$404,"Hoàn thành")+COUNTIFS(Task!$A$5:$A$404,$A54,Task!$C$5:$C$404,H$3,Task!$K$5:$K$404,"Đang làm")&gt;0,"Đang làm","Chưa")))))</f>
        <v/>
      </c>
      <c r="I54" s="14" t="str">
        <f aca="false">IF($A54="","",IF((COUNTIFS(Task!$A$5:$A$404,$A54,Task!$C$5:$C$404,I$3)-COUNTIFS(Task!$A$5:$A$404,$A54,Task!$C$5:$C$404,I$3,Task!$K$5:$K$404,"Không áp dụng"))=0,"–",IF(COUNTIFS(Task!$A$5:$A$404,$A54,Task!$C$5:$C$404,I$3,Task!$K$5:$K$404,"Hoàn thành")=(COUNTIFS(Task!$A$5:$A$404,$A54,Task!$C$5:$C$404,I$3)-COUNTIFS(Task!$A$5:$A$404,$A54,Task!$C$5:$C$404,I$3,Task!$K$5:$K$404,"Không áp dụng")),"Xong",IF(COUNTIFS(Task!$A$5:$A$404,$A54,Task!$C$5:$C$404,I$3,Task!$K$5:$K$404,"Bị chặn")&gt;0,"Bị chặn",IF(COUNTIFS(Task!$A$5:$A$404,$A54,Task!$C$5:$C$404,I$3,Task!$K$5:$K$404,"Hoàn thành")+COUNTIFS(Task!$A$5:$A$404,$A54,Task!$C$5:$C$404,I$3,Task!$K$5:$K$404,"Đang làm")&gt;0,"Đang làm","Chưa")))))</f>
        <v/>
      </c>
      <c r="J54" s="14" t="str">
        <f aca="false">IF($A54="","",IF((COUNTIFS(Task!$A$5:$A$404,$A54,Task!$C$5:$C$404,J$3)-COUNTIFS(Task!$A$5:$A$404,$A54,Task!$C$5:$C$404,J$3,Task!$K$5:$K$404,"Không áp dụng"))=0,"–",IF(COUNTIFS(Task!$A$5:$A$404,$A54,Task!$C$5:$C$404,J$3,Task!$K$5:$K$404,"Hoàn thành")=(COUNTIFS(Task!$A$5:$A$404,$A54,Task!$C$5:$C$404,J$3)-COUNTIFS(Task!$A$5:$A$404,$A54,Task!$C$5:$C$404,J$3,Task!$K$5:$K$404,"Không áp dụng")),"Xong",IF(COUNTIFS(Task!$A$5:$A$404,$A54,Task!$C$5:$C$404,J$3,Task!$K$5:$K$404,"Bị chặn")&gt;0,"Bị chặn",IF(COUNTIFS(Task!$A$5:$A$404,$A54,Task!$C$5:$C$404,J$3,Task!$K$5:$K$404,"Hoàn thành")+COUNTIFS(Task!$A$5:$A$404,$A54,Task!$C$5:$C$404,J$3,Task!$K$5:$K$404,"Đang làm")&gt;0,"Đang làm","Chưa")))))</f>
        <v/>
      </c>
      <c r="K54" s="14" t="str">
        <f aca="false">IF($A54="","",IF((COUNTIFS(Task!$A$5:$A$404,$A54,Task!$C$5:$C$404,K$3)-COUNTIFS(Task!$A$5:$A$404,$A54,Task!$C$5:$C$404,K$3,Task!$K$5:$K$404,"Không áp dụng"))=0,"–",IF(COUNTIFS(Task!$A$5:$A$404,$A54,Task!$C$5:$C$404,K$3,Task!$K$5:$K$404,"Hoàn thành")=(COUNTIFS(Task!$A$5:$A$404,$A54,Task!$C$5:$C$404,K$3)-COUNTIFS(Task!$A$5:$A$404,$A54,Task!$C$5:$C$404,K$3,Task!$K$5:$K$404,"Không áp dụng")),"Xong",IF(COUNTIFS(Task!$A$5:$A$404,$A54,Task!$C$5:$C$404,K$3,Task!$K$5:$K$404,"Bị chặn")&gt;0,"Bị chặn",IF(COUNTIFS(Task!$A$5:$A$404,$A54,Task!$C$5:$C$404,K$3,Task!$K$5:$K$404,"Hoàn thành")+COUNTIFS(Task!$A$5:$A$404,$A54,Task!$C$5:$C$404,K$3,Task!$K$5:$K$404,"Đang làm")&gt;0,"Đang làm","Chưa")))))</f>
        <v/>
      </c>
      <c r="L54" s="14" t="str">
        <f aca="false">IF($A54="","",IF((COUNTIFS(Task!$A$5:$A$404,$A54,Task!$C$5:$C$404,L$3)-COUNTIFS(Task!$A$5:$A$404,$A54,Task!$C$5:$C$404,L$3,Task!$K$5:$K$404,"Không áp dụng"))=0,"–",IF(COUNTIFS(Task!$A$5:$A$404,$A54,Task!$C$5:$C$404,L$3,Task!$K$5:$K$404,"Hoàn thành")=(COUNTIFS(Task!$A$5:$A$404,$A54,Task!$C$5:$C$404,L$3)-COUNTIFS(Task!$A$5:$A$404,$A54,Task!$C$5:$C$404,L$3,Task!$K$5:$K$404,"Không áp dụng")),"Xong",IF(COUNTIFS(Task!$A$5:$A$404,$A54,Task!$C$5:$C$404,L$3,Task!$K$5:$K$404,"Bị chặn")&gt;0,"Bị chặn",IF(COUNTIFS(Task!$A$5:$A$404,$A54,Task!$C$5:$C$404,L$3,Task!$K$5:$K$404,"Hoàn thành")+COUNTIFS(Task!$A$5:$A$404,$A54,Task!$C$5:$C$404,L$3,Task!$K$5:$K$404,"Đang làm")&gt;0,"Đang làm","Chưa")))))</f>
        <v/>
      </c>
      <c r="M54" s="14" t="str">
        <f aca="false">IF($A54="","",IF((COUNTIFS(Task!$A$5:$A$404,$A54,Task!$C$5:$C$404,M$3)-COUNTIFS(Task!$A$5:$A$404,$A54,Task!$C$5:$C$404,M$3,Task!$K$5:$K$404,"Không áp dụng"))=0,"–",IF(COUNTIFS(Task!$A$5:$A$404,$A54,Task!$C$5:$C$404,M$3,Task!$K$5:$K$404,"Hoàn thành")=(COUNTIFS(Task!$A$5:$A$404,$A54,Task!$C$5:$C$404,M$3)-COUNTIFS(Task!$A$5:$A$404,$A54,Task!$C$5:$C$404,M$3,Task!$K$5:$K$404,"Không áp dụng")),"Xong",IF(COUNTIFS(Task!$A$5:$A$404,$A54,Task!$C$5:$C$404,M$3,Task!$K$5:$K$404,"Bị chặn")&gt;0,"Bị chặn",IF(COUNTIFS(Task!$A$5:$A$404,$A54,Task!$C$5:$C$404,M$3,Task!$K$5:$K$404,"Hoàn thành")+COUNTIFS(Task!$A$5:$A$404,$A54,Task!$C$5:$C$404,M$3,Task!$K$5:$K$404,"Đang làm")&gt;0,"Đang làm","Chưa")))))</f>
        <v/>
      </c>
      <c r="N54" s="14" t="str">
        <f aca="false">IF($A54="","",IF(F54&lt;&gt;"Xong",1,IF(G54&lt;&gt;"Xong",2,IF(H54&lt;&gt;"Xong",3,IF(I54&lt;&gt;"Xong",4,IF(J54&lt;&gt;"Xong",5,IF(K54&lt;&gt;"Xong",6,IF(L54&lt;&gt;"Xong",7,IF(M54&lt;&gt;"Xong",8,9)))))))))</f>
        <v/>
      </c>
      <c r="O54" s="14" t="str">
        <f aca="false">IF($A54="","",IF($N54=9,"Hoàn tất",INDEX('Quy trình'!$B$5:$B$12,$N54)))</f>
        <v/>
      </c>
      <c r="P54" s="14" t="str">
        <f aca="false">IF($A54="","",COUNTIFS(Task!$A$5:$A$404,$A54)-COUNTIFS(Task!$A$5:$A$404,$A54,Task!$K$5:$K$404,"Không áp dụng"))</f>
        <v/>
      </c>
      <c r="Q54" s="14" t="str">
        <f aca="false">IF($A54="","",COUNTIFS(Task!$A$5:$A$404,$A54,Task!$K$5:$K$404,"Hoàn thành"))</f>
        <v/>
      </c>
      <c r="R54" s="16" t="str">
        <f aca="false">IF($A54="","",Q54/MAX(P54,COUNTA('Mẫu task'!$A$5:$A$64)))</f>
        <v/>
      </c>
      <c r="S54" s="14" t="str">
        <f aca="false">IF($A54="","",SUMIFS(Task!$O$5:$O$404,Task!$A$5:$A$404,$A54))</f>
        <v/>
      </c>
      <c r="T54" s="14" t="str">
        <f aca="false">IF($A54="","",COUNTIFS(Task!$A$5:$A$404,$A54,Task!$K$5:$K$404,"Bị chặn"))</f>
        <v/>
      </c>
      <c r="U54" s="14" t="str">
        <f aca="false">IF($A54="","",IF(P54=0,"Chưa có task",IF(T54&gt;0,"Bị chặn",IF(S54&gt;0,"Có việc trễ",IF(N54=9,"Hoàn tất","Đúng tiến độ")))))</f>
        <v/>
      </c>
      <c r="V54" s="14" t="str">
        <f aca="false">IF($A54="","",IFERROR(INDEX('Chấm điểm'!$D$16:$M$16,MATCH($A54,'Chấm điểm'!$D$4:$M$4,0)),""))</f>
        <v/>
      </c>
    </row>
  </sheetData>
  <autoFilter ref="A4:V54"/>
  <conditionalFormatting sqref="F5:M54">
    <cfRule type="cellIs" priority="2" operator="equal" aboveAverage="0" equalAverage="0" bottom="0" percent="0" rank="0" text="" dxfId="0">
      <formula>"Xong"</formula>
    </cfRule>
    <cfRule type="cellIs" priority="3" operator="equal" aboveAverage="0" equalAverage="0" bottom="0" percent="0" rank="0" text="" dxfId="2">
      <formula>"Đang làm"</formula>
    </cfRule>
    <cfRule type="cellIs" priority="4" operator="equal" aboveAverage="0" equalAverage="0" bottom="0" percent="0" rank="0" text="" dxfId="3">
      <formula>"Bị chặn"</formula>
    </cfRule>
    <cfRule type="cellIs" priority="5" operator="equal" aboveAverage="0" equalAverage="0" bottom="0" percent="0" rank="0" text="" dxfId="13">
      <formula>"Chưa"</formula>
    </cfRule>
  </conditionalFormatting>
  <conditionalFormatting sqref="U5:U54">
    <cfRule type="cellIs" priority="6" operator="equal" aboveAverage="0" equalAverage="0" bottom="0" percent="0" rank="0" text="" dxfId="0">
      <formula>"Hoàn tất"</formula>
    </cfRule>
    <cfRule type="cellIs" priority="7" operator="equal" aboveAverage="0" equalAverage="0" bottom="0" percent="0" rank="0" text="" dxfId="1">
      <formula>"Đúng tiến độ"</formula>
    </cfRule>
    <cfRule type="cellIs" priority="8" operator="equal" aboveAverage="0" equalAverage="0" bottom="0" percent="0" rank="0" text="" dxfId="2">
      <formula>"Có việc trễ"</formula>
    </cfRule>
    <cfRule type="cellIs" priority="9" operator="equal" aboveAverage="0" equalAverage="0" bottom="0" percent="0" rank="0" text="" dxfId="3">
      <formula>"Bị chặn"</formula>
    </cfRule>
  </conditionalFormatting>
  <conditionalFormatting sqref="V5:V54">
    <cfRule type="expression" priority="10" aboveAverage="0" equalAverage="0" bottom="0" percent="0" rank="0" text="" dxfId="0">
      <formula>LEFT(V5,2)="OK"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4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9"/>
    <col collapsed="false" customWidth="true" hidden="false" outlineLevel="0" max="3" min="3" style="0" width="7"/>
    <col collapsed="false" customWidth="true" hidden="false" outlineLevel="0" max="4" min="4" style="0" width="22"/>
    <col collapsed="false" customWidth="true" hidden="false" outlineLevel="0" max="5" min="5" style="0" width="42"/>
    <col collapsed="false" customWidth="true" hidden="false" outlineLevel="0" max="6" min="6" style="0" width="40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13"/>
    <col collapsed="false" customWidth="true" hidden="false" outlineLevel="0" max="13" min="13" style="0" width="22"/>
    <col collapsed="false" customWidth="true" hidden="false" outlineLevel="0" max="14" min="14" style="0" width="32"/>
    <col collapsed="false" customWidth="true" hidden="false" outlineLevel="0" max="15" min="15" style="0" width="8"/>
    <col collapsed="false" customWidth="true" hidden="false" outlineLevel="0" max="16" min="16" style="0" width="10"/>
  </cols>
  <sheetData>
    <row r="1" customFormat="false" ht="17.35" hidden="false" customHeight="false" outlineLevel="0" collapsed="false">
      <c r="A1" s="1" t="s">
        <v>81</v>
      </c>
    </row>
    <row r="2" customFormat="false" ht="15" hidden="false" customHeight="false" outlineLevel="0" collapsed="false">
      <c r="A2" s="2" t="s">
        <v>82</v>
      </c>
    </row>
    <row r="4" customFormat="false" ht="35.05" hidden="false" customHeight="false" outlineLevel="0" collapsed="false">
      <c r="A4" s="13" t="s">
        <v>50</v>
      </c>
      <c r="B4" s="13" t="s">
        <v>83</v>
      </c>
      <c r="C4" s="13" t="s">
        <v>84</v>
      </c>
      <c r="D4" s="13" t="s">
        <v>85</v>
      </c>
      <c r="E4" s="13" t="s">
        <v>86</v>
      </c>
      <c r="F4" s="13" t="s">
        <v>87</v>
      </c>
      <c r="G4" s="13" t="s">
        <v>62</v>
      </c>
      <c r="H4" s="13" t="s">
        <v>88</v>
      </c>
      <c r="I4" s="13" t="s">
        <v>89</v>
      </c>
      <c r="J4" s="13" t="s">
        <v>90</v>
      </c>
      <c r="K4" s="13" t="s">
        <v>91</v>
      </c>
      <c r="L4" s="13" t="s">
        <v>92</v>
      </c>
      <c r="M4" s="13" t="s">
        <v>93</v>
      </c>
      <c r="N4" s="13" t="s">
        <v>94</v>
      </c>
      <c r="O4" s="21" t="s">
        <v>95</v>
      </c>
      <c r="P4" s="21" t="s">
        <v>96</v>
      </c>
    </row>
    <row r="5" customFormat="false" ht="23.85" hidden="false" customHeight="false" outlineLevel="0" collapsed="false">
      <c r="A5" s="19" t="s">
        <v>74</v>
      </c>
      <c r="B5" s="22" t="s">
        <v>97</v>
      </c>
      <c r="C5" s="14" t="n">
        <f aca="false">IF($B5="","",IFERROR(INDEX('Mẫu task'!$B$5:$B$64,MATCH($B5,'Mẫu task'!$A$5:$A$64,0)),""))</f>
        <v>1</v>
      </c>
      <c r="D5" s="15" t="str">
        <f aca="false">IF($C5="","",IFERROR(INDEX('Quy trình'!$B$5:$B$12,MATCH($C5,'Quy trình'!$A$5:$A$12,0)),""))</f>
        <v>Sourcing</v>
      </c>
      <c r="E5" s="23" t="str">
        <f aca="false">IF($B5="","",IFERROR(INDEX('Mẫu task'!$D$5:$D$64,MATCH($B5,'Mẫu task'!$A$5:$A$64,0)),""))</f>
        <v>Chốt bộ tiêu chí chọn partner (đang là dấu ? trên bảng)</v>
      </c>
      <c r="F5" s="23" t="str">
        <f aca="false">IF($B5="","",IFERROR(INDEX('Mẫu task'!$E$5:$E$64,MATCH($B5,'Mẫu task'!$A$5:$A$64,0)),""))</f>
        <v>Mục tiêu hợp tác; danh mục sản phẩm VNW cần bổ sung</v>
      </c>
      <c r="G5" s="19" t="s">
        <v>77</v>
      </c>
      <c r="H5" s="20" t="n">
        <v>46251</v>
      </c>
      <c r="I5" s="14" t="n">
        <f aca="false">IF($B5="","",IFERROR(INDEX('Mẫu task'!$H$5:$H$64,MATCH($B5,'Mẫu task'!$A$5:$A$64,0)),""))</f>
        <v>5</v>
      </c>
      <c r="J5" s="24" t="n">
        <f aca="false">IF(OR($H5="",$I5=""),"",$H5+$I5)</f>
        <v>46256</v>
      </c>
      <c r="K5" s="22" t="s">
        <v>98</v>
      </c>
      <c r="L5" s="20" t="n">
        <v>46255</v>
      </c>
      <c r="M5" s="14" t="str">
        <f aca="true">IF($B5="","",IF($K5="Hoàn thành","Xong",IF($K5="Không áp dụng","—",IF($K5="Bị chặn","Bị chặn",IF($O5=1,"TRỄ "&amp;(TODAY()-$J5)&amp;" ngày",IF(AND($K5="Đang làm",$P5&gt;0),"Bước trước chưa xong",IF(AND($J5&lt;&gt;"",N($J5)-TODAY()&lt;=3),"Sắp đến hạn",IF($K5="Đang làm","Đang làm","Chưa bắt đầu"))))))))</f>
        <v>Xong</v>
      </c>
      <c r="N5" s="25"/>
      <c r="O5" s="26" t="n">
        <f aca="true">IF(AND($B5&lt;&gt;"",$K5&lt;&gt;"Hoàn thành",$K5&lt;&gt;"Không áp dụng",$J5&lt;&gt;""),IF($J5&lt;TODAY(),1,0),0)</f>
        <v>0</v>
      </c>
      <c r="P5" s="26" t="n">
        <f aca="false">IF(AND($B5&lt;&gt;"",$C5&lt;&gt;"",N($C5)&gt;1),COUNTIFS(Task!$A$5:$A$404,$A5,Task!$C$5:$C$404,N($C5)-1,Task!$K$5:$K$404,"&lt;&gt;Hoàn thành",Task!$K$5:$K$404,"&lt;&gt;Không áp dụng"),0)</f>
        <v>0</v>
      </c>
    </row>
    <row r="6" customFormat="false" ht="15" hidden="false" customHeight="false" outlineLevel="0" collapsed="false">
      <c r="A6" s="19" t="s">
        <v>74</v>
      </c>
      <c r="B6" s="22" t="s">
        <v>99</v>
      </c>
      <c r="C6" s="14" t="n">
        <f aca="false">IF($B6="","",IFERROR(INDEX('Mẫu task'!$B$5:$B$64,MATCH($B6,'Mẫu task'!$A$5:$A$64,0)),""))</f>
        <v>1</v>
      </c>
      <c r="D6" s="15" t="str">
        <f aca="false">IF($C6="","",IFERROR(INDEX('Quy trình'!$B$5:$B$12,MATCH($C6,'Quy trình'!$A$5:$A$12,0)),""))</f>
        <v>Sourcing</v>
      </c>
      <c r="E6" s="23" t="str">
        <f aca="false">IF($B6="","",IFERROR(INDEX('Mẫu task'!$D$5:$D$64,MATCH($B6,'Mẫu task'!$A$5:$A$64,0)),""))</f>
        <v>Lập danh sách nguồn tìm partner</v>
      </c>
      <c r="F6" s="23" t="str">
        <f aca="false">IF($B6="","",IFERROR(INDEX('Mẫu task'!$E$5:$E$64,MATCH($B6,'Mẫu task'!$A$5:$A$64,0)),""))</f>
        <v>Các kênh: giới thiệu, vendor, sự kiện, thị trường</v>
      </c>
      <c r="G6" s="19" t="s">
        <v>77</v>
      </c>
      <c r="H6" s="20" t="n">
        <v>46256</v>
      </c>
      <c r="I6" s="14" t="n">
        <f aca="false">IF($B6="","",IFERROR(INDEX('Mẫu task'!$H$5:$H$64,MATCH($B6,'Mẫu task'!$A$5:$A$64,0)),""))</f>
        <v>3</v>
      </c>
      <c r="J6" s="24" t="n">
        <f aca="false">IF(OR($H6="",$I6=""),"",$H6+$I6)</f>
        <v>46259</v>
      </c>
      <c r="K6" s="22" t="s">
        <v>98</v>
      </c>
      <c r="L6" s="20" t="n">
        <v>46258</v>
      </c>
      <c r="M6" s="14" t="str">
        <f aca="true">IF($B6="","",IF($K6="Hoàn thành","Xong",IF($K6="Không áp dụng","—",IF($K6="Bị chặn","Bị chặn",IF($O6=1,"TRỄ "&amp;(TODAY()-$J6)&amp;" ngày",IF(AND($K6="Đang làm",$P6&gt;0),"Bước trước chưa xong",IF(AND($J6&lt;&gt;"",N($J6)-TODAY()&lt;=3),"Sắp đến hạn",IF($K6="Đang làm","Đang làm","Chưa bắt đầu"))))))))</f>
        <v>Xong</v>
      </c>
      <c r="N6" s="25"/>
      <c r="O6" s="26" t="n">
        <f aca="true">IF(AND($B6&lt;&gt;"",$K6&lt;&gt;"Hoàn thành",$K6&lt;&gt;"Không áp dụng",$J6&lt;&gt;""),IF($J6&lt;TODAY(),1,0),0)</f>
        <v>0</v>
      </c>
      <c r="P6" s="26" t="n">
        <f aca="false">IF(AND($B6&lt;&gt;"",$C6&lt;&gt;"",N($C6)&gt;1),COUNTIFS(Task!$A$5:$A$404,$A6,Task!$C$5:$C$404,N($C6)-1,Task!$K$5:$K$404,"&lt;&gt;Hoàn thành",Task!$K$5:$K$404,"&lt;&gt;Không áp dụng"),0)</f>
        <v>0</v>
      </c>
    </row>
    <row r="7" customFormat="false" ht="15" hidden="false" customHeight="false" outlineLevel="0" collapsed="false">
      <c r="A7" s="19" t="s">
        <v>74</v>
      </c>
      <c r="B7" s="22" t="s">
        <v>100</v>
      </c>
      <c r="C7" s="14" t="n">
        <f aca="false">IF($B7="","",IFERROR(INDEX('Mẫu task'!$B$5:$B$64,MATCH($B7,'Mẫu task'!$A$5:$A$64,0)),""))</f>
        <v>1</v>
      </c>
      <c r="D7" s="15" t="str">
        <f aca="false">IF($C7="","",IFERROR(INDEX('Quy trình'!$B$5:$B$12,MATCH($C7,'Quy trình'!$A$5:$A$12,0)),""))</f>
        <v>Sourcing</v>
      </c>
      <c r="E7" s="23" t="str">
        <f aca="false">IF($B7="","",IFERROR(INDEX('Mẫu task'!$D$5:$D$64,MATCH($B7,'Mẫu task'!$A$5:$A$64,0)),""))</f>
        <v>Lập long list và chấm sơ bộ theo tiêu chí</v>
      </c>
      <c r="F7" s="23" t="str">
        <f aca="false">IF($B7="","",IFERROR(INDEX('Mẫu task'!$E$5:$E$64,MATCH($B7,'Mẫu task'!$A$5:$A$64,0)),""))</f>
        <v>Bộ tiêu chí 1.1; danh sách nguồn 1.2</v>
      </c>
      <c r="G7" s="19" t="s">
        <v>77</v>
      </c>
      <c r="H7" s="20" t="n">
        <v>46259</v>
      </c>
      <c r="I7" s="14" t="n">
        <f aca="false">IF($B7="","",IFERROR(INDEX('Mẫu task'!$H$5:$H$64,MATCH($B7,'Mẫu task'!$A$5:$A$64,0)),""))</f>
        <v>7</v>
      </c>
      <c r="J7" s="24" t="n">
        <f aca="false">IF(OR($H7="",$I7=""),"",$H7+$I7)</f>
        <v>46266</v>
      </c>
      <c r="K7" s="22" t="s">
        <v>98</v>
      </c>
      <c r="L7" s="20" t="n">
        <v>46265</v>
      </c>
      <c r="M7" s="14" t="str">
        <f aca="true">IF($B7="","",IF($K7="Hoàn thành","Xong",IF($K7="Không áp dụng","—",IF($K7="Bị chặn","Bị chặn",IF($O7=1,"TRỄ "&amp;(TODAY()-$J7)&amp;" ngày",IF(AND($K7="Đang làm",$P7&gt;0),"Bước trước chưa xong",IF(AND($J7&lt;&gt;"",N($J7)-TODAY()&lt;=3),"Sắp đến hạn",IF($K7="Đang làm","Đang làm","Chưa bắt đầu"))))))))</f>
        <v>Xong</v>
      </c>
      <c r="N7" s="25"/>
      <c r="O7" s="26" t="n">
        <f aca="true">IF(AND($B7&lt;&gt;"",$K7&lt;&gt;"Hoàn thành",$K7&lt;&gt;"Không áp dụng",$J7&lt;&gt;""),IF($J7&lt;TODAY(),1,0),0)</f>
        <v>0</v>
      </c>
      <c r="P7" s="26" t="n">
        <f aca="false">IF(AND($B7&lt;&gt;"",$C7&lt;&gt;"",N($C7)&gt;1),COUNTIFS(Task!$A$5:$A$404,$A7,Task!$C$5:$C$404,N($C7)-1,Task!$K$5:$K$404,"&lt;&gt;Hoàn thành",Task!$K$5:$K$404,"&lt;&gt;Không áp dụng"),0)</f>
        <v>0</v>
      </c>
    </row>
    <row r="8" customFormat="false" ht="15" hidden="false" customHeight="false" outlineLevel="0" collapsed="false">
      <c r="A8" s="19" t="s">
        <v>74</v>
      </c>
      <c r="B8" s="22" t="s">
        <v>101</v>
      </c>
      <c r="C8" s="14" t="n">
        <f aca="false">IF($B8="","",IFERROR(INDEX('Mẫu task'!$B$5:$B$64,MATCH($B8,'Mẫu task'!$A$5:$A$64,0)),""))</f>
        <v>1</v>
      </c>
      <c r="D8" s="15" t="str">
        <f aca="false">IF($C8="","",IFERROR(INDEX('Quy trình'!$B$5:$B$12,MATCH($C8,'Quy trình'!$A$5:$A$12,0)),""))</f>
        <v>Sourcing</v>
      </c>
      <c r="E8" s="23" t="str">
        <f aca="false">IF($B8="","",IFERROR(INDEX('Mẫu task'!$D$5:$D$64,MATCH($B8,'Mẫu task'!$A$5:$A$64,0)),""))</f>
        <v>Chốt short list partner 'A'</v>
      </c>
      <c r="F8" s="23" t="str">
        <f aca="false">IF($B8="","",IFERROR(INDEX('Mẫu task'!$E$5:$E$64,MATCH($B8,'Mẫu task'!$A$5:$A$64,0)),""))</f>
        <v>Long list có điểm</v>
      </c>
      <c r="G8" s="19" t="s">
        <v>77</v>
      </c>
      <c r="H8" s="20" t="n">
        <v>46266</v>
      </c>
      <c r="I8" s="14" t="n">
        <f aca="false">IF($B8="","",IFERROR(INDEX('Mẫu task'!$H$5:$H$64,MATCH($B8,'Mẫu task'!$A$5:$A$64,0)),""))</f>
        <v>2</v>
      </c>
      <c r="J8" s="24" t="n">
        <f aca="false">IF(OR($H8="",$I8=""),"",$H8+$I8)</f>
        <v>46268</v>
      </c>
      <c r="K8" s="22" t="s">
        <v>98</v>
      </c>
      <c r="L8" s="20" t="n">
        <v>46267</v>
      </c>
      <c r="M8" s="14" t="str">
        <f aca="true">IF($B8="","",IF($K8="Hoàn thành","Xong",IF($K8="Không áp dụng","—",IF($K8="Bị chặn","Bị chặn",IF($O8=1,"TRỄ "&amp;(TODAY()-$J8)&amp;" ngày",IF(AND($K8="Đang làm",$P8&gt;0),"Bước trước chưa xong",IF(AND($J8&lt;&gt;"",N($J8)-TODAY()&lt;=3),"Sắp đến hạn",IF($K8="Đang làm","Đang làm","Chưa bắt đầu"))))))))</f>
        <v>Xong</v>
      </c>
      <c r="N8" s="25"/>
      <c r="O8" s="26" t="n">
        <f aca="true">IF(AND($B8&lt;&gt;"",$K8&lt;&gt;"Hoàn thành",$K8&lt;&gt;"Không áp dụng",$J8&lt;&gt;""),IF($J8&lt;TODAY(),1,0),0)</f>
        <v>0</v>
      </c>
      <c r="P8" s="26" t="n">
        <f aca="false">IF(AND($B8&lt;&gt;"",$C8&lt;&gt;"",N($C8)&gt;1),COUNTIFS(Task!$A$5:$A$404,$A8,Task!$C$5:$C$404,N($C8)-1,Task!$K$5:$K$404,"&lt;&gt;Hoàn thành",Task!$K$5:$K$404,"&lt;&gt;Không áp dụng"),0)</f>
        <v>0</v>
      </c>
    </row>
    <row r="9" customFormat="false" ht="23.85" hidden="false" customHeight="false" outlineLevel="0" collapsed="false">
      <c r="A9" s="19" t="s">
        <v>74</v>
      </c>
      <c r="B9" s="22" t="s">
        <v>102</v>
      </c>
      <c r="C9" s="14" t="n">
        <f aca="false">IF($B9="","",IFERROR(INDEX('Mẫu task'!$B$5:$B$64,MATCH($B9,'Mẫu task'!$A$5:$A$64,0)),""))</f>
        <v>2</v>
      </c>
      <c r="D9" s="15" t="str">
        <f aca="false">IF($C9="","",IFERROR(INDEX('Quy trình'!$B$5:$B$12,MATCH($C9,'Quy trình'!$A$5:$A$12,0)),""))</f>
        <v>Approach</v>
      </c>
      <c r="E9" s="23" t="str">
        <f aca="false">IF($B9="","",IFERROR(INDEX('Mẫu task'!$D$5:$D$64,MATCH($B9,'Mẫu task'!$A$5:$A$64,0)),""))</f>
        <v>Chuẩn bị presentation (công ty, VTF, đề xuất hợp tác)</v>
      </c>
      <c r="F9" s="23" t="str">
        <f aca="false">IF($B9="","",IFERROR(INDEX('Mẫu task'!$E$5:$E$64,MATCH($B9,'Mẫu task'!$A$5:$A$64,0)),""))</f>
        <v>Deck giới thiệu công ty và VTF; proposal giải pháp</v>
      </c>
      <c r="G9" s="19" t="s">
        <v>77</v>
      </c>
      <c r="H9" s="20" t="n">
        <v>46268</v>
      </c>
      <c r="I9" s="14" t="n">
        <f aca="false">IF($B9="","",IFERROR(INDEX('Mẫu task'!$H$5:$H$64,MATCH($B9,'Mẫu task'!$A$5:$A$64,0)),""))</f>
        <v>5</v>
      </c>
      <c r="J9" s="24" t="n">
        <f aca="false">IF(OR($H9="",$I9=""),"",$H9+$I9)</f>
        <v>46273</v>
      </c>
      <c r="K9" s="22" t="s">
        <v>98</v>
      </c>
      <c r="L9" s="20" t="n">
        <v>46272</v>
      </c>
      <c r="M9" s="14" t="str">
        <f aca="true">IF($B9="","",IF($K9="Hoàn thành","Xong",IF($K9="Không áp dụng","—",IF($K9="Bị chặn","Bị chặn",IF($O9=1,"TRỄ "&amp;(TODAY()-$J9)&amp;" ngày",IF(AND($K9="Đang làm",$P9&gt;0),"Bước trước chưa xong",IF(AND($J9&lt;&gt;"",N($J9)-TODAY()&lt;=3),"Sắp đến hạn",IF($K9="Đang làm","Đang làm","Chưa bắt đầu"))))))))</f>
        <v>Xong</v>
      </c>
      <c r="N9" s="25"/>
      <c r="O9" s="26" t="n">
        <f aca="true">IF(AND($B9&lt;&gt;"",$K9&lt;&gt;"Hoàn thành",$K9&lt;&gt;"Không áp dụng",$J9&lt;&gt;""),IF($J9&lt;TODAY(),1,0),0)</f>
        <v>0</v>
      </c>
      <c r="P9" s="26" t="n">
        <f aca="false">IF(AND($B9&lt;&gt;"",$C9&lt;&gt;"",N($C9)&gt;1),COUNTIFS(Task!$A$5:$A$404,$A9,Task!$C$5:$C$404,N($C9)-1,Task!$K$5:$K$404,"&lt;&gt;Hoàn thành",Task!$K$5:$K$404,"&lt;&gt;Không áp dụng"),0)</f>
        <v>0</v>
      </c>
    </row>
    <row r="10" customFormat="false" ht="15" hidden="false" customHeight="false" outlineLevel="0" collapsed="false">
      <c r="A10" s="19" t="s">
        <v>74</v>
      </c>
      <c r="B10" s="22" t="s">
        <v>103</v>
      </c>
      <c r="C10" s="14" t="n">
        <f aca="false">IF($B10="","",IFERROR(INDEX('Mẫu task'!$B$5:$B$64,MATCH($B10,'Mẫu task'!$A$5:$A$64,0)),""))</f>
        <v>2</v>
      </c>
      <c r="D10" s="15" t="str">
        <f aca="false">IF($C10="","",IFERROR(INDEX('Quy trình'!$B$5:$B$12,MATCH($C10,'Quy trình'!$A$5:$A$12,0)),""))</f>
        <v>Approach</v>
      </c>
      <c r="E10" s="23" t="str">
        <f aca="false">IF($B10="","",IFERROR(INDEX('Mẫu task'!$D$5:$D$64,MATCH($B10,'Mẫu task'!$A$5:$A$64,0)),""))</f>
        <v>Liên hệ đầu mối partner và đặt lịch</v>
      </c>
      <c r="F10" s="23" t="str">
        <f aca="false">IF($B10="","",IFERROR(INDEX('Mẫu task'!$E$5:$E$64,MATCH($B10,'Mẫu task'!$A$5:$A$64,0)),""))</f>
        <v>Thông tin đầu mối phía partner</v>
      </c>
      <c r="G10" s="19" t="s">
        <v>77</v>
      </c>
      <c r="H10" s="20" t="n">
        <v>46273</v>
      </c>
      <c r="I10" s="14" t="n">
        <f aca="false">IF($B10="","",IFERROR(INDEX('Mẫu task'!$H$5:$H$64,MATCH($B10,'Mẫu task'!$A$5:$A$64,0)),""))</f>
        <v>3</v>
      </c>
      <c r="J10" s="24" t="n">
        <f aca="false">IF(OR($H10="",$I10=""),"",$H10+$I10)</f>
        <v>46276</v>
      </c>
      <c r="K10" s="22" t="s">
        <v>98</v>
      </c>
      <c r="L10" s="20" t="n">
        <v>46275</v>
      </c>
      <c r="M10" s="14" t="str">
        <f aca="true">IF($B10="","",IF($K10="Hoàn thành","Xong",IF($K10="Không áp dụng","—",IF($K10="Bị chặn","Bị chặn",IF($O10=1,"TRỄ "&amp;(TODAY()-$J10)&amp;" ngày",IF(AND($K10="Đang làm",$P10&gt;0),"Bước trước chưa xong",IF(AND($J10&lt;&gt;"",N($J10)-TODAY()&lt;=3),"Sắp đến hạn",IF($K10="Đang làm","Đang làm","Chưa bắt đầu"))))))))</f>
        <v>Xong</v>
      </c>
      <c r="N10" s="25"/>
      <c r="O10" s="26" t="n">
        <f aca="true">IF(AND($B10&lt;&gt;"",$K10&lt;&gt;"Hoàn thành",$K10&lt;&gt;"Không áp dụng",$J10&lt;&gt;""),IF($J10&lt;TODAY(),1,0),0)</f>
        <v>0</v>
      </c>
      <c r="P10" s="26" t="n">
        <f aca="false">IF(AND($B10&lt;&gt;"",$C10&lt;&gt;"",N($C10)&gt;1),COUNTIFS(Task!$A$5:$A$404,$A10,Task!$C$5:$C$404,N($C10)-1,Task!$K$5:$K$404,"&lt;&gt;Hoàn thành",Task!$K$5:$K$404,"&lt;&gt;Không áp dụng"),0)</f>
        <v>0</v>
      </c>
    </row>
    <row r="11" customFormat="false" ht="15" hidden="false" customHeight="false" outlineLevel="0" collapsed="false">
      <c r="A11" s="19" t="s">
        <v>74</v>
      </c>
      <c r="B11" s="22" t="s">
        <v>104</v>
      </c>
      <c r="C11" s="14" t="n">
        <f aca="false">IF($B11="","",IFERROR(INDEX('Mẫu task'!$B$5:$B$64,MATCH($B11,'Mẫu task'!$A$5:$A$64,0)),""))</f>
        <v>2</v>
      </c>
      <c r="D11" s="15" t="str">
        <f aca="false">IF($C11="","",IFERROR(INDEX('Quy trình'!$B$5:$B$12,MATCH($C11,'Quy trình'!$A$5:$A$12,0)),""))</f>
        <v>Approach</v>
      </c>
      <c r="E11" s="23" t="str">
        <f aca="false">IF($B11="","",IFERROR(INDEX('Mẫu task'!$D$5:$D$64,MATCH($B11,'Mẫu task'!$A$5:$A$64,0)),""))</f>
        <v>Thuyết trình / gặp gỡ lần đầu</v>
      </c>
      <c r="F11" s="23" t="str">
        <f aca="false">IF($B11="","",IFERROR(INDEX('Mẫu task'!$E$5:$E$64,MATCH($B11,'Mẫu task'!$A$5:$A$64,0)),""))</f>
        <v>Deck 2.1</v>
      </c>
      <c r="G11" s="19" t="s">
        <v>77</v>
      </c>
      <c r="H11" s="20" t="n">
        <v>46276</v>
      </c>
      <c r="I11" s="14" t="n">
        <f aca="false">IF($B11="","",IFERROR(INDEX('Mẫu task'!$H$5:$H$64,MATCH($B11,'Mẫu task'!$A$5:$A$64,0)),""))</f>
        <v>3</v>
      </c>
      <c r="J11" s="24" t="n">
        <f aca="false">IF(OR($H11="",$I11=""),"",$H11+$I11)</f>
        <v>46279</v>
      </c>
      <c r="K11" s="22" t="s">
        <v>98</v>
      </c>
      <c r="L11" s="20" t="n">
        <v>46278</v>
      </c>
      <c r="M11" s="14" t="str">
        <f aca="true">IF($B11="","",IF($K11="Hoàn thành","Xong",IF($K11="Không áp dụng","—",IF($K11="Bị chặn","Bị chặn",IF($O11=1,"TRỄ "&amp;(TODAY()-$J11)&amp;" ngày",IF(AND($K11="Đang làm",$P11&gt;0),"Bước trước chưa xong",IF(AND($J11&lt;&gt;"",N($J11)-TODAY()&lt;=3),"Sắp đến hạn",IF($K11="Đang làm","Đang làm","Chưa bắt đầu"))))))))</f>
        <v>Xong</v>
      </c>
      <c r="N11" s="25"/>
      <c r="O11" s="26" t="n">
        <f aca="true">IF(AND($B11&lt;&gt;"",$K11&lt;&gt;"Hoàn thành",$K11&lt;&gt;"Không áp dụng",$J11&lt;&gt;""),IF($J11&lt;TODAY(),1,0),0)</f>
        <v>0</v>
      </c>
      <c r="P11" s="26" t="n">
        <f aca="false">IF(AND($B11&lt;&gt;"",$C11&lt;&gt;"",N($C11)&gt;1),COUNTIFS(Task!$A$5:$A$404,$A11,Task!$C$5:$C$404,N($C11)-1,Task!$K$5:$K$404,"&lt;&gt;Hoàn thành",Task!$K$5:$K$404,"&lt;&gt;Không áp dụng"),0)</f>
        <v>0</v>
      </c>
    </row>
    <row r="12" customFormat="false" ht="15" hidden="false" customHeight="false" outlineLevel="0" collapsed="false">
      <c r="A12" s="19" t="s">
        <v>74</v>
      </c>
      <c r="B12" s="22" t="s">
        <v>105</v>
      </c>
      <c r="C12" s="14" t="n">
        <f aca="false">IF($B12="","",IFERROR(INDEX('Mẫu task'!$B$5:$B$64,MATCH($B12,'Mẫu task'!$A$5:$A$64,0)),""))</f>
        <v>2</v>
      </c>
      <c r="D12" s="15" t="str">
        <f aca="false">IF($C12="","",IFERROR(INDEX('Quy trình'!$B$5:$B$12,MATCH($C12,'Quy trình'!$A$5:$A$12,0)),""))</f>
        <v>Approach</v>
      </c>
      <c r="E12" s="23" t="str">
        <f aca="false">IF($B12="","",IFERROR(INDEX('Mẫu task'!$D$5:$D$64,MATCH($B12,'Mẫu task'!$A$5:$A$64,0)),""))</f>
        <v>Nhận phản hồi quan tâm từ partner</v>
      </c>
      <c r="F12" s="23" t="str">
        <f aca="false">IF($B12="","",IFERROR(INDEX('Mẫu task'!$E$5:$E$64,MATCH($B12,'Mẫu task'!$A$5:$A$64,0)),""))</f>
        <v>Biên bản buổi gặp</v>
      </c>
      <c r="G12" s="19" t="s">
        <v>77</v>
      </c>
      <c r="H12" s="20" t="n">
        <v>46279</v>
      </c>
      <c r="I12" s="14" t="n">
        <f aca="false">IF($B12="","",IFERROR(INDEX('Mẫu task'!$H$5:$H$64,MATCH($B12,'Mẫu task'!$A$5:$A$64,0)),""))</f>
        <v>5</v>
      </c>
      <c r="J12" s="24" t="n">
        <f aca="false">IF(OR($H12="",$I12=""),"",$H12+$I12)</f>
        <v>46284</v>
      </c>
      <c r="K12" s="22" t="s">
        <v>98</v>
      </c>
      <c r="L12" s="20" t="n">
        <v>46283</v>
      </c>
      <c r="M12" s="14" t="str">
        <f aca="true">IF($B12="","",IF($K12="Hoàn thành","Xong",IF($K12="Không áp dụng","—",IF($K12="Bị chặn","Bị chặn",IF($O12=1,"TRỄ "&amp;(TODAY()-$J12)&amp;" ngày",IF(AND($K12="Đang làm",$P12&gt;0),"Bước trước chưa xong",IF(AND($J12&lt;&gt;"",N($J12)-TODAY()&lt;=3),"Sắp đến hạn",IF($K12="Đang làm","Đang làm","Chưa bắt đầu"))))))))</f>
        <v>Xong</v>
      </c>
      <c r="N12" s="25"/>
      <c r="O12" s="26" t="n">
        <f aca="true">IF(AND($B12&lt;&gt;"",$K12&lt;&gt;"Hoàn thành",$K12&lt;&gt;"Không áp dụng",$J12&lt;&gt;""),IF($J12&lt;TODAY(),1,0),0)</f>
        <v>0</v>
      </c>
      <c r="P12" s="26" t="n">
        <f aca="false">IF(AND($B12&lt;&gt;"",$C12&lt;&gt;"",N($C12)&gt;1),COUNTIFS(Task!$A$5:$A$404,$A12,Task!$C$5:$C$404,N($C12)-1,Task!$K$5:$K$404,"&lt;&gt;Hoàn thành",Task!$K$5:$K$404,"&lt;&gt;Không áp dụng"),0)</f>
        <v>0</v>
      </c>
    </row>
    <row r="13" customFormat="false" ht="15" hidden="false" customHeight="false" outlineLevel="0" collapsed="false">
      <c r="A13" s="19" t="s">
        <v>74</v>
      </c>
      <c r="B13" s="22" t="s">
        <v>106</v>
      </c>
      <c r="C13" s="14" t="n">
        <f aca="false">IF($B13="","",IFERROR(INDEX('Mẫu task'!$B$5:$B$64,MATCH($B13,'Mẫu task'!$A$5:$A$64,0)),""))</f>
        <v>3</v>
      </c>
      <c r="D13" s="15" t="str">
        <f aca="false">IF($C13="","",IFERROR(INDEX('Quy trình'!$B$5:$B$12,MATCH($C13,'Quy trình'!$A$5:$A$12,0)),""))</f>
        <v>NDA</v>
      </c>
      <c r="E13" s="23" t="str">
        <f aca="false">IF($B13="","",IFERROR(INDEX('Mẫu task'!$D$5:$D$64,MATCH($B13,'Mẫu task'!$A$5:$A$64,0)),""))</f>
        <v>Chuẩn bị mẫu NDA (pháp chế duyệt)</v>
      </c>
      <c r="F13" s="23" t="str">
        <f aca="false">IF($B13="","",IFERROR(INDEX('Mẫu task'!$E$5:$E$64,MATCH($B13,'Mẫu task'!$A$5:$A$64,0)),""))</f>
        <v>Mẫu NDA chuẩn</v>
      </c>
      <c r="G13" s="19" t="s">
        <v>107</v>
      </c>
      <c r="H13" s="20" t="n">
        <v>46284</v>
      </c>
      <c r="I13" s="14" t="n">
        <f aca="false">IF($B13="","",IFERROR(INDEX('Mẫu task'!$H$5:$H$64,MATCH($B13,'Mẫu task'!$A$5:$A$64,0)),""))</f>
        <v>3</v>
      </c>
      <c r="J13" s="24" t="n">
        <f aca="false">IF(OR($H13="",$I13=""),"",$H13+$I13)</f>
        <v>46287</v>
      </c>
      <c r="K13" s="22" t="s">
        <v>98</v>
      </c>
      <c r="L13" s="20" t="n">
        <v>46286</v>
      </c>
      <c r="M13" s="14" t="str">
        <f aca="true">IF($B13="","",IF($K13="Hoàn thành","Xong",IF($K13="Không áp dụng","—",IF($K13="Bị chặn","Bị chặn",IF($O13=1,"TRỄ "&amp;(TODAY()-$J13)&amp;" ngày",IF(AND($K13="Đang làm",$P13&gt;0),"Bước trước chưa xong",IF(AND($J13&lt;&gt;"",N($J13)-TODAY()&lt;=3),"Sắp đến hạn",IF($K13="Đang làm","Đang làm","Chưa bắt đầu"))))))))</f>
        <v>Xong</v>
      </c>
      <c r="N13" s="25"/>
      <c r="O13" s="26" t="n">
        <f aca="true">IF(AND($B13&lt;&gt;"",$K13&lt;&gt;"Hoàn thành",$K13&lt;&gt;"Không áp dụng",$J13&lt;&gt;""),IF($J13&lt;TODAY(),1,0),0)</f>
        <v>0</v>
      </c>
      <c r="P13" s="26" t="n">
        <f aca="false">IF(AND($B13&lt;&gt;"",$C13&lt;&gt;"",N($C13)&gt;1),COUNTIFS(Task!$A$5:$A$404,$A13,Task!$C$5:$C$404,N($C13)-1,Task!$K$5:$K$404,"&lt;&gt;Hoàn thành",Task!$K$5:$K$404,"&lt;&gt;Không áp dụng"),0)</f>
        <v>0</v>
      </c>
    </row>
    <row r="14" customFormat="false" ht="15" hidden="false" customHeight="false" outlineLevel="0" collapsed="false">
      <c r="A14" s="19" t="s">
        <v>74</v>
      </c>
      <c r="B14" s="22" t="s">
        <v>108</v>
      </c>
      <c r="C14" s="14" t="n">
        <f aca="false">IF($B14="","",IFERROR(INDEX('Mẫu task'!$B$5:$B$64,MATCH($B14,'Mẫu task'!$A$5:$A$64,0)),""))</f>
        <v>3</v>
      </c>
      <c r="D14" s="15" t="str">
        <f aca="false">IF($C14="","",IFERROR(INDEX('Quy trình'!$B$5:$B$12,MATCH($C14,'Quy trình'!$A$5:$A$12,0)),""))</f>
        <v>NDA</v>
      </c>
      <c r="E14" s="23" t="str">
        <f aca="false">IF($B14="","",IFERROR(INDEX('Mẫu task'!$D$5:$D$64,MATCH($B14,'Mẫu task'!$A$5:$A$64,0)),""))</f>
        <v>Gửi và thương lượng điều khoản NDA</v>
      </c>
      <c r="F14" s="23" t="str">
        <f aca="false">IF($B14="","",IFERROR(INDEX('Mẫu task'!$E$5:$E$64,MATCH($B14,'Mẫu task'!$A$5:$A$64,0)),""))</f>
        <v>NDA 3.1</v>
      </c>
      <c r="G14" s="19" t="s">
        <v>107</v>
      </c>
      <c r="H14" s="20" t="n">
        <v>46287</v>
      </c>
      <c r="I14" s="14" t="n">
        <f aca="false">IF($B14="","",IFERROR(INDEX('Mẫu task'!$H$5:$H$64,MATCH($B14,'Mẫu task'!$A$5:$A$64,0)),""))</f>
        <v>5</v>
      </c>
      <c r="J14" s="24" t="n">
        <f aca="false">IF(OR($H14="",$I14=""),"",$H14+$I14)</f>
        <v>46292</v>
      </c>
      <c r="K14" s="22" t="s">
        <v>98</v>
      </c>
      <c r="L14" s="20" t="n">
        <v>46291</v>
      </c>
      <c r="M14" s="14" t="str">
        <f aca="true">IF($B14="","",IF($K14="Hoàn thành","Xong",IF($K14="Không áp dụng","—",IF($K14="Bị chặn","Bị chặn",IF($O14=1,"TRỄ "&amp;(TODAY()-$J14)&amp;" ngày",IF(AND($K14="Đang làm",$P14&gt;0),"Bước trước chưa xong",IF(AND($J14&lt;&gt;"",N($J14)-TODAY()&lt;=3),"Sắp đến hạn",IF($K14="Đang làm","Đang làm","Chưa bắt đầu"))))))))</f>
        <v>Xong</v>
      </c>
      <c r="N14" s="25"/>
      <c r="O14" s="26" t="n">
        <f aca="true">IF(AND($B14&lt;&gt;"",$K14&lt;&gt;"Hoàn thành",$K14&lt;&gt;"Không áp dụng",$J14&lt;&gt;""),IF($J14&lt;TODAY(),1,0),0)</f>
        <v>0</v>
      </c>
      <c r="P14" s="26" t="n">
        <f aca="false">IF(AND($B14&lt;&gt;"",$C14&lt;&gt;"",N($C14)&gt;1),COUNTIFS(Task!$A$5:$A$404,$A14,Task!$C$5:$C$404,N($C14)-1,Task!$K$5:$K$404,"&lt;&gt;Hoàn thành",Task!$K$5:$K$404,"&lt;&gt;Không áp dụng"),0)</f>
        <v>0</v>
      </c>
    </row>
    <row r="15" customFormat="false" ht="15" hidden="false" customHeight="false" outlineLevel="0" collapsed="false">
      <c r="A15" s="19" t="s">
        <v>74</v>
      </c>
      <c r="B15" s="22" t="s">
        <v>109</v>
      </c>
      <c r="C15" s="14" t="n">
        <f aca="false">IF($B15="","",IFERROR(INDEX('Mẫu task'!$B$5:$B$64,MATCH($B15,'Mẫu task'!$A$5:$A$64,0)),""))</f>
        <v>3</v>
      </c>
      <c r="D15" s="15" t="str">
        <f aca="false">IF($C15="","",IFERROR(INDEX('Quy trình'!$B$5:$B$12,MATCH($C15,'Quy trình'!$A$5:$A$12,0)),""))</f>
        <v>NDA</v>
      </c>
      <c r="E15" s="23" t="str">
        <f aca="false">IF($B15="","",IFERROR(INDEX('Mẫu task'!$D$5:$D$64,MATCH($B15,'Mẫu task'!$A$5:$A$64,0)),""))</f>
        <v>Ký NDA và lưu bản gốc</v>
      </c>
      <c r="F15" s="23" t="str">
        <f aca="false">IF($B15="","",IFERROR(INDEX('Mẫu task'!$E$5:$E$64,MATCH($B15,'Mẫu task'!$A$5:$A$64,0)),""))</f>
        <v>Người ký hai bên</v>
      </c>
      <c r="G15" s="19" t="s">
        <v>107</v>
      </c>
      <c r="H15" s="20" t="n">
        <v>46292</v>
      </c>
      <c r="I15" s="14" t="n">
        <f aca="false">IF($B15="","",IFERROR(INDEX('Mẫu task'!$H$5:$H$64,MATCH($B15,'Mẫu task'!$A$5:$A$64,0)),""))</f>
        <v>3</v>
      </c>
      <c r="J15" s="24" t="n">
        <f aca="false">IF(OR($H15="",$I15=""),"",$H15+$I15)</f>
        <v>46295</v>
      </c>
      <c r="K15" s="22" t="s">
        <v>98</v>
      </c>
      <c r="L15" s="20" t="n">
        <v>46294</v>
      </c>
      <c r="M15" s="14" t="str">
        <f aca="true">IF($B15="","",IF($K15="Hoàn thành","Xong",IF($K15="Không áp dụng","—",IF($K15="Bị chặn","Bị chặn",IF($O15=1,"TRỄ "&amp;(TODAY()-$J15)&amp;" ngày",IF(AND($K15="Đang làm",$P15&gt;0),"Bước trước chưa xong",IF(AND($J15&lt;&gt;"",N($J15)-TODAY()&lt;=3),"Sắp đến hạn",IF($K15="Đang làm","Đang làm","Chưa bắt đầu"))))))))</f>
        <v>Xong</v>
      </c>
      <c r="N15" s="25"/>
      <c r="O15" s="26" t="n">
        <f aca="true">IF(AND($B15&lt;&gt;"",$K15&lt;&gt;"Hoàn thành",$K15&lt;&gt;"Không áp dụng",$J15&lt;&gt;""),IF($J15&lt;TODAY(),1,0),0)</f>
        <v>0</v>
      </c>
      <c r="P15" s="26" t="n">
        <f aca="false">IF(AND($B15&lt;&gt;"",$C15&lt;&gt;"",N($C15)&gt;1),COUNTIFS(Task!$A$5:$A$404,$A15,Task!$C$5:$C$404,N($C15)-1,Task!$K$5:$K$404,"&lt;&gt;Hoàn thành",Task!$K$5:$K$404,"&lt;&gt;Không áp dụng"),0)</f>
        <v>0</v>
      </c>
    </row>
    <row r="16" customFormat="false" ht="15" hidden="false" customHeight="false" outlineLevel="0" collapsed="false">
      <c r="A16" s="19" t="s">
        <v>74</v>
      </c>
      <c r="B16" s="22" t="s">
        <v>110</v>
      </c>
      <c r="C16" s="14" t="n">
        <f aca="false">IF($B16="","",IFERROR(INDEX('Mẫu task'!$B$5:$B$64,MATCH($B16,'Mẫu task'!$A$5:$A$64,0)),""))</f>
        <v>4</v>
      </c>
      <c r="D16" s="15" t="str">
        <f aca="false">IF($C16="","",IFERROR(INDEX('Quy trình'!$B$5:$B$12,MATCH($C16,'Quy trình'!$A$5:$A$12,0)),""))</f>
        <v>Hồ sơ của partner (A)</v>
      </c>
      <c r="E16" s="23" t="str">
        <f aca="false">IF($B16="","",IFERROR(INDEX('Mẫu task'!$D$5:$D$64,MATCH($B16,'Mẫu task'!$A$5:$A$64,0)),""))</f>
        <v>Nhận company profile của partner</v>
      </c>
      <c r="F16" s="23" t="str">
        <f aca="false">IF($B16="","",IFERROR(INDEX('Mẫu task'!$E$5:$E$64,MATCH($B16,'Mẫu task'!$A$5:$A$64,0)),""))</f>
        <v>NDA đã ký</v>
      </c>
      <c r="G16" s="19" t="s">
        <v>77</v>
      </c>
      <c r="H16" s="20" t="n">
        <v>46295</v>
      </c>
      <c r="I16" s="14" t="n">
        <f aca="false">IF($B16="","",IFERROR(INDEX('Mẫu task'!$H$5:$H$64,MATCH($B16,'Mẫu task'!$A$5:$A$64,0)),""))</f>
        <v>5</v>
      </c>
      <c r="J16" s="24" t="n">
        <f aca="false">IF(OR($H16="",$I16=""),"",$H16+$I16)</f>
        <v>46300</v>
      </c>
      <c r="K16" s="22" t="s">
        <v>98</v>
      </c>
      <c r="L16" s="20" t="n">
        <v>46299</v>
      </c>
      <c r="M16" s="14" t="str">
        <f aca="true">IF($B16="","",IF($K16="Hoàn thành","Xong",IF($K16="Không áp dụng","—",IF($K16="Bị chặn","Bị chặn",IF($O16=1,"TRỄ "&amp;(TODAY()-$J16)&amp;" ngày",IF(AND($K16="Đang làm",$P16&gt;0),"Bước trước chưa xong",IF(AND($J16&lt;&gt;"",N($J16)-TODAY()&lt;=3),"Sắp đến hạn",IF($K16="Đang làm","Đang làm","Chưa bắt đầu"))))))))</f>
        <v>Xong</v>
      </c>
      <c r="N16" s="25"/>
      <c r="O16" s="26" t="n">
        <f aca="true">IF(AND($B16&lt;&gt;"",$K16&lt;&gt;"Hoàn thành",$K16&lt;&gt;"Không áp dụng",$J16&lt;&gt;""),IF($J16&lt;TODAY(),1,0),0)</f>
        <v>0</v>
      </c>
      <c r="P16" s="26" t="n">
        <f aca="false">IF(AND($B16&lt;&gt;"",$C16&lt;&gt;"",N($C16)&gt;1),COUNTIFS(Task!$A$5:$A$404,$A16,Task!$C$5:$C$404,N($C16)-1,Task!$K$5:$K$404,"&lt;&gt;Hoàn thành",Task!$K$5:$K$404,"&lt;&gt;Không áp dụng"),0)</f>
        <v>0</v>
      </c>
    </row>
    <row r="17" customFormat="false" ht="15" hidden="false" customHeight="false" outlineLevel="0" collapsed="false">
      <c r="A17" s="19" t="s">
        <v>74</v>
      </c>
      <c r="B17" s="22" t="s">
        <v>111</v>
      </c>
      <c r="C17" s="14" t="n">
        <f aca="false">IF($B17="","",IFERROR(INDEX('Mẫu task'!$B$5:$B$64,MATCH($B17,'Mẫu task'!$A$5:$A$64,0)),""))</f>
        <v>4</v>
      </c>
      <c r="D17" s="15" t="str">
        <f aca="false">IF($C17="","",IFERROR(INDEX('Quy trình'!$B$5:$B$12,MATCH($C17,'Quy trình'!$A$5:$A$12,0)),""))</f>
        <v>Hồ sơ của partner (A)</v>
      </c>
      <c r="E17" s="23" t="str">
        <f aca="false">IF($B17="","",IFERROR(INDEX('Mẫu task'!$D$5:$D$64,MATCH($B17,'Mẫu task'!$A$5:$A$64,0)),""))</f>
        <v>Nhận product deck của partner</v>
      </c>
      <c r="F17" s="23" t="str">
        <f aca="false">IF($B17="","",IFERROR(INDEX('Mẫu task'!$E$5:$E$64,MATCH($B17,'Mẫu task'!$A$5:$A$64,0)),""))</f>
        <v>NDA đã ký</v>
      </c>
      <c r="G17" s="19" t="s">
        <v>77</v>
      </c>
      <c r="H17" s="20" t="n">
        <v>46300</v>
      </c>
      <c r="I17" s="14" t="n">
        <f aca="false">IF($B17="","",IFERROR(INDEX('Mẫu task'!$H$5:$H$64,MATCH($B17,'Mẫu task'!$A$5:$A$64,0)),""))</f>
        <v>5</v>
      </c>
      <c r="J17" s="24" t="n">
        <f aca="false">IF(OR($H17="",$I17=""),"",$H17+$I17)</f>
        <v>46305</v>
      </c>
      <c r="K17" s="22" t="s">
        <v>98</v>
      </c>
      <c r="L17" s="20" t="n">
        <v>46304</v>
      </c>
      <c r="M17" s="14" t="str">
        <f aca="true">IF($B17="","",IF($K17="Hoàn thành","Xong",IF($K17="Không áp dụng","—",IF($K17="Bị chặn","Bị chặn",IF($O17=1,"TRỄ "&amp;(TODAY()-$J17)&amp;" ngày",IF(AND($K17="Đang làm",$P17&gt;0),"Bước trước chưa xong",IF(AND($J17&lt;&gt;"",N($J17)-TODAY()&lt;=3),"Sắp đến hạn",IF($K17="Đang làm","Đang làm","Chưa bắt đầu"))))))))</f>
        <v>Xong</v>
      </c>
      <c r="N17" s="25"/>
      <c r="O17" s="26" t="n">
        <f aca="true">IF(AND($B17&lt;&gt;"",$K17&lt;&gt;"Hoàn thành",$K17&lt;&gt;"Không áp dụng",$J17&lt;&gt;""),IF($J17&lt;TODAY(),1,0),0)</f>
        <v>0</v>
      </c>
      <c r="P17" s="26" t="n">
        <f aca="false">IF(AND($B17&lt;&gt;"",$C17&lt;&gt;"",N($C17)&gt;1),COUNTIFS(Task!$A$5:$A$404,$A17,Task!$C$5:$C$404,N($C17)-1,Task!$K$5:$K$404,"&lt;&gt;Hoàn thành",Task!$K$5:$K$404,"&lt;&gt;Không áp dụng"),0)</f>
        <v>0</v>
      </c>
    </row>
    <row r="18" customFormat="false" ht="15" hidden="false" customHeight="false" outlineLevel="0" collapsed="false">
      <c r="A18" s="19" t="s">
        <v>74</v>
      </c>
      <c r="B18" s="22" t="s">
        <v>112</v>
      </c>
      <c r="C18" s="14" t="n">
        <f aca="false">IF($B18="","",IFERROR(INDEX('Mẫu task'!$B$5:$B$64,MATCH($B18,'Mẫu task'!$A$5:$A$64,0)),""))</f>
        <v>4</v>
      </c>
      <c r="D18" s="15" t="str">
        <f aca="false">IF($C18="","",IFERROR(INDEX('Quy trình'!$B$5:$B$12,MATCH($C18,'Quy trình'!$A$5:$A$12,0)),""))</f>
        <v>Hồ sơ của partner (A)</v>
      </c>
      <c r="E18" s="23" t="str">
        <f aca="false">IF($B18="","",IFERROR(INDEX('Mẫu task'!$D$5:$D$64,MATCH($B18,'Mẫu task'!$A$5:$A$64,0)),""))</f>
        <v>Nhận price policy của partner</v>
      </c>
      <c r="F18" s="23" t="str">
        <f aca="false">IF($B18="","",IFERROR(INDEX('Mẫu task'!$E$5:$E$64,MATCH($B18,'Mẫu task'!$A$5:$A$64,0)),""))</f>
        <v>NDA đã ký</v>
      </c>
      <c r="G18" s="19" t="s">
        <v>77</v>
      </c>
      <c r="H18" s="20" t="n">
        <v>46305</v>
      </c>
      <c r="I18" s="14" t="n">
        <f aca="false">IF($B18="","",IFERROR(INDEX('Mẫu task'!$H$5:$H$64,MATCH($B18,'Mẫu task'!$A$5:$A$64,0)),""))</f>
        <v>5</v>
      </c>
      <c r="J18" s="24" t="n">
        <f aca="false">IF(OR($H18="",$I18=""),"",$H18+$I18)</f>
        <v>46310</v>
      </c>
      <c r="K18" s="22" t="s">
        <v>44</v>
      </c>
      <c r="L18" s="20"/>
      <c r="M18" s="14" t="str">
        <f aca="true">IF($B18="","",IF($K18="Hoàn thành","Xong",IF($K18="Không áp dụng","—",IF($K18="Bị chặn","Bị chặn",IF($O18=1,"TRỄ "&amp;(TODAY()-$J18)&amp;" ngày",IF(AND($K18="Đang làm",$P18&gt;0),"Bước trước chưa xong",IF(AND($J18&lt;&gt;"",N($J18)-TODAY()&lt;=3),"Sắp đến hạn",IF($K18="Đang làm","Đang làm","Chưa bắt đầu"))))))))</f>
        <v>TRỄ 15 ngày</v>
      </c>
      <c r="N18" s="25" t="s">
        <v>113</v>
      </c>
      <c r="O18" s="26" t="n">
        <f aca="true">IF(AND($B18&lt;&gt;"",$K18&lt;&gt;"Hoàn thành",$K18&lt;&gt;"Không áp dụng",$J18&lt;&gt;""),IF($J18&lt;TODAY(),1,0),0)</f>
        <v>1</v>
      </c>
      <c r="P18" s="26" t="n">
        <f aca="false">IF(AND($B18&lt;&gt;"",$C18&lt;&gt;"",N($C18)&gt;1),COUNTIFS(Task!$A$5:$A$404,$A18,Task!$C$5:$C$404,N($C18)-1,Task!$K$5:$K$404,"&lt;&gt;Hoàn thành",Task!$K$5:$K$404,"&lt;&gt;Không áp dụng"),0)</f>
        <v>0</v>
      </c>
    </row>
    <row r="19" customFormat="false" ht="15" hidden="false" customHeight="false" outlineLevel="0" collapsed="false">
      <c r="A19" s="19" t="s">
        <v>74</v>
      </c>
      <c r="B19" s="22" t="s">
        <v>114</v>
      </c>
      <c r="C19" s="14" t="n">
        <f aca="false">IF($B19="","",IFERROR(INDEX('Mẫu task'!$B$5:$B$64,MATCH($B19,'Mẫu task'!$A$5:$A$64,0)),""))</f>
        <v>4</v>
      </c>
      <c r="D19" s="15" t="str">
        <f aca="false">IF($C19="","",IFERROR(INDEX('Quy trình'!$B$5:$B$12,MATCH($C19,'Quy trình'!$A$5:$A$12,0)),""))</f>
        <v>Hồ sơ của partner (A)</v>
      </c>
      <c r="E19" s="23" t="str">
        <f aca="false">IF($B19="","",IFERROR(INDEX('Mẫu task'!$D$5:$D$64,MATCH($B19,'Mẫu task'!$A$5:$A$64,0)),""))</f>
        <v>Nhận / thống nhất biz collaboration model</v>
      </c>
      <c r="F19" s="23" t="str">
        <f aca="false">IF($B19="","",IFERROR(INDEX('Mẫu task'!$E$5:$E$64,MATCH($B19,'Mẫu task'!$A$5:$A$64,0)),""))</f>
        <v>NDA đã ký</v>
      </c>
      <c r="G19" s="19" t="s">
        <v>77</v>
      </c>
      <c r="H19" s="20"/>
      <c r="I19" s="14" t="n">
        <f aca="false">IF($B19="","",IFERROR(INDEX('Mẫu task'!$H$5:$H$64,MATCH($B19,'Mẫu task'!$A$5:$A$64,0)),""))</f>
        <v>7</v>
      </c>
      <c r="J19" s="24" t="str">
        <f aca="false">IF(OR($H19="",$I19=""),"",$H19+$I19)</f>
        <v/>
      </c>
      <c r="K19" s="22" t="s">
        <v>115</v>
      </c>
      <c r="L19" s="20"/>
      <c r="M19" s="14" t="str">
        <f aca="true">IF($B19="","",IF($K19="Hoàn thành","Xong",IF($K19="Không áp dụng","—",IF($K19="Bị chặn","Bị chặn",IF($O19=1,"TRỄ "&amp;(TODAY()-$J19)&amp;" ngày",IF(AND($K19="Đang làm",$P19&gt;0),"Bước trước chưa xong",IF(AND($J19&lt;&gt;"",N($J19)-TODAY()&lt;=3),"Sắp đến hạn",IF($K19="Đang làm","Đang làm","Chưa bắt đầu"))))))))</f>
        <v>Chưa bắt đầu</v>
      </c>
      <c r="N19" s="25"/>
      <c r="O19" s="26" t="n">
        <f aca="true">IF(AND($B19&lt;&gt;"",$K19&lt;&gt;"Hoàn thành",$K19&lt;&gt;"Không áp dụng",$J19&lt;&gt;""),IF($J19&lt;TODAY(),1,0),0)</f>
        <v>0</v>
      </c>
      <c r="P19" s="26" t="n">
        <f aca="false">IF(AND($B19&lt;&gt;"",$C19&lt;&gt;"",N($C19)&gt;1),COUNTIFS(Task!$A$5:$A$404,$A19,Task!$C$5:$C$404,N($C19)-1,Task!$K$5:$K$404,"&lt;&gt;Hoàn thành",Task!$K$5:$K$404,"&lt;&gt;Không áp dụng"),0)</f>
        <v>0</v>
      </c>
    </row>
    <row r="20" customFormat="false" ht="15" hidden="false" customHeight="false" outlineLevel="0" collapsed="false">
      <c r="A20" s="19" t="s">
        <v>74</v>
      </c>
      <c r="B20" s="22" t="s">
        <v>116</v>
      </c>
      <c r="C20" s="14" t="n">
        <f aca="false">IF($B20="","",IFERROR(INDEX('Mẫu task'!$B$5:$B$64,MATCH($B20,'Mẫu task'!$A$5:$A$64,0)),""))</f>
        <v>4</v>
      </c>
      <c r="D20" s="15" t="str">
        <f aca="false">IF($C20="","",IFERROR(INDEX('Quy trình'!$B$5:$B$12,MATCH($C20,'Quy trình'!$A$5:$A$12,0)),""))</f>
        <v>Hồ sơ của partner (A)</v>
      </c>
      <c r="E20" s="23" t="str">
        <f aca="false">IF($B20="","",IFERROR(INDEX('Mẫu task'!$D$5:$D$64,MATCH($B20,'Mẫu task'!$A$5:$A$64,0)),""))</f>
        <v>Rà soát tính đầy đủ của hồ sơ</v>
      </c>
      <c r="F20" s="23" t="str">
        <f aca="false">IF($B20="","",IFERROR(INDEX('Mẫu task'!$E$5:$E$64,MATCH($B20,'Mẫu task'!$A$5:$A$64,0)),""))</f>
        <v>Hồ sơ 4.1 đến 4.4</v>
      </c>
      <c r="G20" s="19" t="s">
        <v>77</v>
      </c>
      <c r="H20" s="20"/>
      <c r="I20" s="14" t="n">
        <f aca="false">IF($B20="","",IFERROR(INDEX('Mẫu task'!$H$5:$H$64,MATCH($B20,'Mẫu task'!$A$5:$A$64,0)),""))</f>
        <v>3</v>
      </c>
      <c r="J20" s="24" t="str">
        <f aca="false">IF(OR($H20="",$I20=""),"",$H20+$I20)</f>
        <v/>
      </c>
      <c r="K20" s="22" t="s">
        <v>115</v>
      </c>
      <c r="L20" s="20"/>
      <c r="M20" s="14" t="str">
        <f aca="true">IF($B20="","",IF($K20="Hoàn thành","Xong",IF($K20="Không áp dụng","—",IF($K20="Bị chặn","Bị chặn",IF($O20=1,"TRỄ "&amp;(TODAY()-$J20)&amp;" ngày",IF(AND($K20="Đang làm",$P20&gt;0),"Bước trước chưa xong",IF(AND($J20&lt;&gt;"",N($J20)-TODAY()&lt;=3),"Sắp đến hạn",IF($K20="Đang làm","Đang làm","Chưa bắt đầu"))))))))</f>
        <v>Chưa bắt đầu</v>
      </c>
      <c r="N20" s="25"/>
      <c r="O20" s="26" t="n">
        <f aca="true">IF(AND($B20&lt;&gt;"",$K20&lt;&gt;"Hoàn thành",$K20&lt;&gt;"Không áp dụng",$J20&lt;&gt;""),IF($J20&lt;TODAY(),1,0),0)</f>
        <v>0</v>
      </c>
      <c r="P20" s="26" t="n">
        <f aca="false">IF(AND($B20&lt;&gt;"",$C20&lt;&gt;"",N($C20)&gt;1),COUNTIFS(Task!$A$5:$A$404,$A20,Task!$C$5:$C$404,N($C20)-1,Task!$K$5:$K$404,"&lt;&gt;Hoàn thành",Task!$K$5:$K$404,"&lt;&gt;Không áp dụng"),0)</f>
        <v>0</v>
      </c>
    </row>
    <row r="21" customFormat="false" ht="23.85" hidden="false" customHeight="false" outlineLevel="0" collapsed="false">
      <c r="A21" s="19" t="s">
        <v>74</v>
      </c>
      <c r="B21" s="22" t="s">
        <v>117</v>
      </c>
      <c r="C21" s="14" t="n">
        <f aca="false">IF($B21="","",IFERROR(INDEX('Mẫu task'!$B$5:$B$64,MATCH($B21,'Mẫu task'!$A$5:$A$64,0)),""))</f>
        <v>5</v>
      </c>
      <c r="D21" s="15" t="str">
        <f aca="false">IF($C21="","",IFERROR(INDEX('Quy trình'!$B$5:$B$12,MATCH($C21,'Quy trình'!$A$5:$A$12,0)),""))</f>
        <v>Tech meeting</v>
      </c>
      <c r="E21" s="23" t="str">
        <f aca="false">IF($B21="","",IFERROR(INDEX('Mẫu task'!$D$5:$D$64,MATCH($B21,'Mẫu task'!$A$5:$A$64,0)),""))</f>
        <v>Chuẩn bị bộ tiêu chí đánh giá và checklist tech meeting</v>
      </c>
      <c r="F21" s="23" t="str">
        <f aca="false">IF($B21="","",IFERROR(INDEX('Mẫu task'!$E$5:$E$64,MATCH($B21,'Mẫu task'!$A$5:$A$64,0)),""))</f>
        <v>Tiêu chí đánh giá tiềm năng hợp tác sản phẩm (đang là dấu ?)</v>
      </c>
      <c r="G21" s="19" t="s">
        <v>118</v>
      </c>
      <c r="H21" s="20"/>
      <c r="I21" s="14" t="n">
        <f aca="false">IF($B21="","",IFERROR(INDEX('Mẫu task'!$H$5:$H$64,MATCH($B21,'Mẫu task'!$A$5:$A$64,0)),""))</f>
        <v>3</v>
      </c>
      <c r="J21" s="24" t="str">
        <f aca="false">IF(OR($H21="",$I21=""),"",$H21+$I21)</f>
        <v/>
      </c>
      <c r="K21" s="22" t="s">
        <v>115</v>
      </c>
      <c r="L21" s="20"/>
      <c r="M21" s="14" t="str">
        <f aca="true">IF($B21="","",IF($K21="Hoàn thành","Xong",IF($K21="Không áp dụng","—",IF($K21="Bị chặn","Bị chặn",IF($O21=1,"TRỄ "&amp;(TODAY()-$J21)&amp;" ngày",IF(AND($K21="Đang làm",$P21&gt;0),"Bước trước chưa xong",IF(AND($J21&lt;&gt;"",N($J21)-TODAY()&lt;=3),"Sắp đến hạn",IF($K21="Đang làm","Đang làm","Chưa bắt đầu"))))))))</f>
        <v>Chưa bắt đầu</v>
      </c>
      <c r="N21" s="25"/>
      <c r="O21" s="26" t="n">
        <f aca="true">IF(AND($B21&lt;&gt;"",$K21&lt;&gt;"Hoàn thành",$K21&lt;&gt;"Không áp dụng",$J21&lt;&gt;""),IF($J21&lt;TODAY(),1,0),0)</f>
        <v>0</v>
      </c>
      <c r="P21" s="26" t="n">
        <f aca="false">IF(AND($B21&lt;&gt;"",$C21&lt;&gt;"",N($C21)&gt;1),COUNTIFS(Task!$A$5:$A$404,$A21,Task!$C$5:$C$404,N($C21)-1,Task!$K$5:$K$404,"&lt;&gt;Hoàn thành",Task!$K$5:$K$404,"&lt;&gt;Không áp dụng"),0)</f>
        <v>3</v>
      </c>
    </row>
    <row r="22" customFormat="false" ht="15" hidden="false" customHeight="false" outlineLevel="0" collapsed="false">
      <c r="A22" s="19" t="s">
        <v>74</v>
      </c>
      <c r="B22" s="22" t="s">
        <v>119</v>
      </c>
      <c r="C22" s="14" t="n">
        <f aca="false">IF($B22="","",IFERROR(INDEX('Mẫu task'!$B$5:$B$64,MATCH($B22,'Mẫu task'!$A$5:$A$64,0)),""))</f>
        <v>5</v>
      </c>
      <c r="D22" s="15" t="str">
        <f aca="false">IF($C22="","",IFERROR(INDEX('Quy trình'!$B$5:$B$12,MATCH($C22,'Quy trình'!$A$5:$A$12,0)),""))</f>
        <v>Tech meeting</v>
      </c>
      <c r="E22" s="23" t="str">
        <f aca="false">IF($B22="","",IFERROR(INDEX('Mẫu task'!$D$5:$D$64,MATCH($B22,'Mẫu task'!$A$5:$A$64,0)),""))</f>
        <v>Xác định sản phẩm VNW định hướng (viết ra)</v>
      </c>
      <c r="F22" s="23" t="str">
        <f aca="false">IF($B22="","",IFERROR(INDEX('Mẫu task'!$E$5:$E$64,MATCH($B22,'Mẫu task'!$A$5:$A$64,0)),""))</f>
        <v>Danh mục SP VNW</v>
      </c>
      <c r="G22" s="19" t="s">
        <v>120</v>
      </c>
      <c r="H22" s="20"/>
      <c r="I22" s="14" t="n">
        <f aca="false">IF($B22="","",IFERROR(INDEX('Mẫu task'!$H$5:$H$64,MATCH($B22,'Mẫu task'!$A$5:$A$64,0)),""))</f>
        <v>3</v>
      </c>
      <c r="J22" s="24" t="str">
        <f aca="false">IF(OR($H22="",$I22=""),"",$H22+$I22)</f>
        <v/>
      </c>
      <c r="K22" s="22" t="s">
        <v>115</v>
      </c>
      <c r="L22" s="20"/>
      <c r="M22" s="14" t="str">
        <f aca="true">IF($B22="","",IF($K22="Hoàn thành","Xong",IF($K22="Không áp dụng","—",IF($K22="Bị chặn","Bị chặn",IF($O22=1,"TRỄ "&amp;(TODAY()-$J22)&amp;" ngày",IF(AND($K22="Đang làm",$P22&gt;0),"Bước trước chưa xong",IF(AND($J22&lt;&gt;"",N($J22)-TODAY()&lt;=3),"Sắp đến hạn",IF($K22="Đang làm","Đang làm","Chưa bắt đầu"))))))))</f>
        <v>Chưa bắt đầu</v>
      </c>
      <c r="N22" s="25"/>
      <c r="O22" s="26" t="n">
        <f aca="true">IF(AND($B22&lt;&gt;"",$K22&lt;&gt;"Hoàn thành",$K22&lt;&gt;"Không áp dụng",$J22&lt;&gt;""),IF($J22&lt;TODAY(),1,0),0)</f>
        <v>0</v>
      </c>
      <c r="P22" s="26" t="n">
        <f aca="false">IF(AND($B22&lt;&gt;"",$C22&lt;&gt;"",N($C22)&gt;1),COUNTIFS(Task!$A$5:$A$404,$A22,Task!$C$5:$C$404,N($C22)-1,Task!$K$5:$K$404,"&lt;&gt;Hoàn thành",Task!$K$5:$K$404,"&lt;&gt;Không áp dụng"),0)</f>
        <v>3</v>
      </c>
    </row>
    <row r="23" customFormat="false" ht="15" hidden="false" customHeight="false" outlineLevel="0" collapsed="false">
      <c r="A23" s="19" t="s">
        <v>74</v>
      </c>
      <c r="B23" s="22" t="s">
        <v>121</v>
      </c>
      <c r="C23" s="14" t="n">
        <f aca="false">IF($B23="","",IFERROR(INDEX('Mẫu task'!$B$5:$B$64,MATCH($B23,'Mẫu task'!$A$5:$A$64,0)),""))</f>
        <v>5</v>
      </c>
      <c r="D23" s="15" t="str">
        <f aca="false">IF($C23="","",IFERROR(INDEX('Quy trình'!$B$5:$B$12,MATCH($C23,'Quy trình'!$A$5:$A$12,0)),""))</f>
        <v>Tech meeting</v>
      </c>
      <c r="E23" s="23" t="str">
        <f aca="false">IF($B23="","",IFERROR(INDEX('Mẫu task'!$D$5:$D$64,MATCH($B23,'Mẫu task'!$A$5:$A$64,0)),""))</f>
        <v>Tổ chức tech meeting</v>
      </c>
      <c r="F23" s="23" t="str">
        <f aca="false">IF($B23="","",IFERROR(INDEX('Mẫu task'!$E$5:$E$64,MATCH($B23,'Mẫu task'!$A$5:$A$64,0)),""))</f>
        <v>Hồ sơ bước 4; checklist 5.1</v>
      </c>
      <c r="G23" s="19" t="s">
        <v>118</v>
      </c>
      <c r="H23" s="20"/>
      <c r="I23" s="14" t="n">
        <f aca="false">IF($B23="","",IFERROR(INDEX('Mẫu task'!$H$5:$H$64,MATCH($B23,'Mẫu task'!$A$5:$A$64,0)),""))</f>
        <v>3</v>
      </c>
      <c r="J23" s="24" t="str">
        <f aca="false">IF(OR($H23="",$I23=""),"",$H23+$I23)</f>
        <v/>
      </c>
      <c r="K23" s="22" t="s">
        <v>115</v>
      </c>
      <c r="L23" s="20"/>
      <c r="M23" s="14" t="str">
        <f aca="true">IF($B23="","",IF($K23="Hoàn thành","Xong",IF($K23="Không áp dụng","—",IF($K23="Bị chặn","Bị chặn",IF($O23=1,"TRỄ "&amp;(TODAY()-$J23)&amp;" ngày",IF(AND($K23="Đang làm",$P23&gt;0),"Bước trước chưa xong",IF(AND($J23&lt;&gt;"",N($J23)-TODAY()&lt;=3),"Sắp đến hạn",IF($K23="Đang làm","Đang làm","Chưa bắt đầu"))))))))</f>
        <v>Chưa bắt đầu</v>
      </c>
      <c r="N23" s="25"/>
      <c r="O23" s="26" t="n">
        <f aca="true">IF(AND($B23&lt;&gt;"",$K23&lt;&gt;"Hoàn thành",$K23&lt;&gt;"Không áp dụng",$J23&lt;&gt;""),IF($J23&lt;TODAY(),1,0),0)</f>
        <v>0</v>
      </c>
      <c r="P23" s="26" t="n">
        <f aca="false">IF(AND($B23&lt;&gt;"",$C23&lt;&gt;"",N($C23)&gt;1),COUNTIFS(Task!$A$5:$A$404,$A23,Task!$C$5:$C$404,N($C23)-1,Task!$K$5:$K$404,"&lt;&gt;Hoàn thành",Task!$K$5:$K$404,"&lt;&gt;Không áp dụng"),0)</f>
        <v>3</v>
      </c>
    </row>
    <row r="24" customFormat="false" ht="15" hidden="false" customHeight="false" outlineLevel="0" collapsed="false">
      <c r="A24" s="19" t="s">
        <v>74</v>
      </c>
      <c r="B24" s="22" t="s">
        <v>122</v>
      </c>
      <c r="C24" s="14" t="n">
        <f aca="false">IF($B24="","",IFERROR(INDEX('Mẫu task'!$B$5:$B$64,MATCH($B24,'Mẫu task'!$A$5:$A$64,0)),""))</f>
        <v>5</v>
      </c>
      <c r="D24" s="15" t="str">
        <f aca="false">IF($C24="","",IFERROR(INDEX('Quy trình'!$B$5:$B$12,MATCH($C24,'Quy trình'!$A$5:$A$12,0)),""))</f>
        <v>Tech meeting</v>
      </c>
      <c r="E24" s="23" t="str">
        <f aca="false">IF($B24="","",IFERROR(INDEX('Mẫu task'!$D$5:$D$64,MATCH($B24,'Mẫu task'!$A$5:$A$64,0)),""))</f>
        <v>Chấm checklist và tổng hợp kết quả</v>
      </c>
      <c r="F24" s="23" t="str">
        <f aca="false">IF($B24="","",IFERROR(INDEX('Mẫu task'!$E$5:$E$64,MATCH($B24,'Mẫu task'!$A$5:$A$64,0)),""))</f>
        <v>Biên bản; điền sheet 'Chấm điểm'</v>
      </c>
      <c r="G24" s="19" t="s">
        <v>118</v>
      </c>
      <c r="H24" s="20"/>
      <c r="I24" s="14" t="n">
        <f aca="false">IF($B24="","",IFERROR(INDEX('Mẫu task'!$H$5:$H$64,MATCH($B24,'Mẫu task'!$A$5:$A$64,0)),""))</f>
        <v>2</v>
      </c>
      <c r="J24" s="24" t="str">
        <f aca="false">IF(OR($H24="",$I24=""),"",$H24+$I24)</f>
        <v/>
      </c>
      <c r="K24" s="22" t="s">
        <v>115</v>
      </c>
      <c r="L24" s="20"/>
      <c r="M24" s="14" t="str">
        <f aca="true">IF($B24="","",IF($K24="Hoàn thành","Xong",IF($K24="Không áp dụng","—",IF($K24="Bị chặn","Bị chặn",IF($O24=1,"TRỄ "&amp;(TODAY()-$J24)&amp;" ngày",IF(AND($K24="Đang làm",$P24&gt;0),"Bước trước chưa xong",IF(AND($J24&lt;&gt;"",N($J24)-TODAY()&lt;=3),"Sắp đến hạn",IF($K24="Đang làm","Đang làm","Chưa bắt đầu"))))))))</f>
        <v>Chưa bắt đầu</v>
      </c>
      <c r="N24" s="25"/>
      <c r="O24" s="26" t="n">
        <f aca="true">IF(AND($B24&lt;&gt;"",$K24&lt;&gt;"Hoàn thành",$K24&lt;&gt;"Không áp dụng",$J24&lt;&gt;""),IF($J24&lt;TODAY(),1,0),0)</f>
        <v>0</v>
      </c>
      <c r="P24" s="26" t="n">
        <f aca="false">IF(AND($B24&lt;&gt;"",$C24&lt;&gt;"",N($C24)&gt;1),COUNTIFS(Task!$A$5:$A$404,$A24,Task!$C$5:$C$404,N($C24)-1,Task!$K$5:$K$404,"&lt;&gt;Hoàn thành",Task!$K$5:$K$404,"&lt;&gt;Không áp dụng"),0)</f>
        <v>3</v>
      </c>
    </row>
    <row r="25" customFormat="false" ht="15" hidden="false" customHeight="false" outlineLevel="0" collapsed="false">
      <c r="A25" s="19" t="s">
        <v>74</v>
      </c>
      <c r="B25" s="22" t="s">
        <v>123</v>
      </c>
      <c r="C25" s="14" t="n">
        <f aca="false">IF($B25="","",IFERROR(INDEX('Mẫu task'!$B$5:$B$64,MATCH($B25,'Mẫu task'!$A$5:$A$64,0)),""))</f>
        <v>5</v>
      </c>
      <c r="D25" s="15" t="str">
        <f aca="false">IF($C25="","",IFERROR(INDEX('Quy trình'!$B$5:$B$12,MATCH($C25,'Quy trình'!$A$5:$A$12,0)),""))</f>
        <v>Tech meeting</v>
      </c>
      <c r="E25" s="23" t="str">
        <f aca="false">IF($B25="","",IFERROR(INDEX('Mẫu task'!$D$5:$D$64,MATCH($B25,'Mẫu task'!$A$5:$A$64,0)),""))</f>
        <v>Kết luận OK / không OK</v>
      </c>
      <c r="F25" s="23" t="str">
        <f aca="false">IF($B25="","",IFERROR(INDEX('Mẫu task'!$E$5:$E$64,MATCH($B25,'Mẫu task'!$A$5:$A$64,0)),""))</f>
        <v>Điểm tổng hợp</v>
      </c>
      <c r="G25" s="19" t="s">
        <v>118</v>
      </c>
      <c r="H25" s="20"/>
      <c r="I25" s="14" t="n">
        <f aca="false">IF($B25="","",IFERROR(INDEX('Mẫu task'!$H$5:$H$64,MATCH($B25,'Mẫu task'!$A$5:$A$64,0)),""))</f>
        <v>2</v>
      </c>
      <c r="J25" s="24" t="str">
        <f aca="false">IF(OR($H25="",$I25=""),"",$H25+$I25)</f>
        <v/>
      </c>
      <c r="K25" s="22" t="s">
        <v>115</v>
      </c>
      <c r="L25" s="20"/>
      <c r="M25" s="14" t="str">
        <f aca="true">IF($B25="","",IF($K25="Hoàn thành","Xong",IF($K25="Không áp dụng","—",IF($K25="Bị chặn","Bị chặn",IF($O25=1,"TRỄ "&amp;(TODAY()-$J25)&amp;" ngày",IF(AND($K25="Đang làm",$P25&gt;0),"Bước trước chưa xong",IF(AND($J25&lt;&gt;"",N($J25)-TODAY()&lt;=3),"Sắp đến hạn",IF($K25="Đang làm","Đang làm","Chưa bắt đầu"))))))))</f>
        <v>Chưa bắt đầu</v>
      </c>
      <c r="N25" s="25"/>
      <c r="O25" s="26" t="n">
        <f aca="true">IF(AND($B25&lt;&gt;"",$K25&lt;&gt;"Hoàn thành",$K25&lt;&gt;"Không áp dụng",$J25&lt;&gt;""),IF($J25&lt;TODAY(),1,0),0)</f>
        <v>0</v>
      </c>
      <c r="P25" s="26" t="n">
        <f aca="false">IF(AND($B25&lt;&gt;"",$C25&lt;&gt;"",N($C25)&gt;1),COUNTIFS(Task!$A$5:$A$404,$A25,Task!$C$5:$C$404,N($C25)-1,Task!$K$5:$K$404,"&lt;&gt;Hoàn thành",Task!$K$5:$K$404,"&lt;&gt;Không áp dụng"),0)</f>
        <v>3</v>
      </c>
    </row>
    <row r="26" customFormat="false" ht="15" hidden="false" customHeight="false" outlineLevel="0" collapsed="false">
      <c r="A26" s="19" t="s">
        <v>74</v>
      </c>
      <c r="B26" s="22" t="s">
        <v>124</v>
      </c>
      <c r="C26" s="14" t="n">
        <f aca="false">IF($B26="","",IFERROR(INDEX('Mẫu task'!$B$5:$B$64,MATCH($B26,'Mẫu task'!$A$5:$A$64,0)),""))</f>
        <v>6</v>
      </c>
      <c r="D26" s="15" t="str">
        <f aca="false">IF($C26="","",IFERROR(INDEX('Quy trình'!$B$5:$B$12,MATCH($C26,'Quy trình'!$A$5:$A$12,0)),""))</f>
        <v>Quyết định / duyệt (giả định)</v>
      </c>
      <c r="E26" s="23" t="str">
        <f aca="false">IF($B26="","",IFERROR(INDEX('Mẫu task'!$D$5:$D$64,MATCH($B26,'Mẫu task'!$A$5:$A$64,0)),""))</f>
        <v>Trình duyệt nội bộ (go / no-go)</v>
      </c>
      <c r="F26" s="23" t="str">
        <f aca="false">IF($B26="","",IFERROR(INDEX('Mẫu task'!$E$5:$E$64,MATCH($B26,'Mẫu task'!$A$5:$A$64,0)),""))</f>
        <v>Kết quả tech meeting</v>
      </c>
      <c r="G26" s="19" t="s">
        <v>77</v>
      </c>
      <c r="H26" s="20"/>
      <c r="I26" s="14" t="n">
        <f aca="false">IF($B26="","",IFERROR(INDEX('Mẫu task'!$H$5:$H$64,MATCH($B26,'Mẫu task'!$A$5:$A$64,0)),""))</f>
        <v>5</v>
      </c>
      <c r="J26" s="24" t="str">
        <f aca="false">IF(OR($H26="",$I26=""),"",$H26+$I26)</f>
        <v/>
      </c>
      <c r="K26" s="22" t="s">
        <v>115</v>
      </c>
      <c r="L26" s="20"/>
      <c r="M26" s="14" t="str">
        <f aca="true">IF($B26="","",IF($K26="Hoàn thành","Xong",IF($K26="Không áp dụng","—",IF($K26="Bị chặn","Bị chặn",IF($O26=1,"TRỄ "&amp;(TODAY()-$J26)&amp;" ngày",IF(AND($K26="Đang làm",$P26&gt;0),"Bước trước chưa xong",IF(AND($J26&lt;&gt;"",N($J26)-TODAY()&lt;=3),"Sắp đến hạn",IF($K26="Đang làm","Đang làm","Chưa bắt đầu"))))))))</f>
        <v>Chưa bắt đầu</v>
      </c>
      <c r="N26" s="25"/>
      <c r="O26" s="26" t="n">
        <f aca="true">IF(AND($B26&lt;&gt;"",$K26&lt;&gt;"Hoàn thành",$K26&lt;&gt;"Không áp dụng",$J26&lt;&gt;""),IF($J26&lt;TODAY(),1,0),0)</f>
        <v>0</v>
      </c>
      <c r="P26" s="26" t="n">
        <f aca="false">IF(AND($B26&lt;&gt;"",$C26&lt;&gt;"",N($C26)&gt;1),COUNTIFS(Task!$A$5:$A$404,$A26,Task!$C$5:$C$404,N($C26)-1,Task!$K$5:$K$404,"&lt;&gt;Hoàn thành",Task!$K$5:$K$404,"&lt;&gt;Không áp dụng"),0)</f>
        <v>5</v>
      </c>
    </row>
    <row r="27" customFormat="false" ht="15" hidden="false" customHeight="false" outlineLevel="0" collapsed="false">
      <c r="A27" s="19" t="s">
        <v>74</v>
      </c>
      <c r="B27" s="22" t="s">
        <v>125</v>
      </c>
      <c r="C27" s="14" t="n">
        <f aca="false">IF($B27="","",IFERROR(INDEX('Mẫu task'!$B$5:$B$64,MATCH($B27,'Mẫu task'!$A$5:$A$64,0)),""))</f>
        <v>6</v>
      </c>
      <c r="D27" s="15" t="str">
        <f aca="false">IF($C27="","",IFERROR(INDEX('Quy trình'!$B$5:$B$12,MATCH($C27,'Quy trình'!$A$5:$A$12,0)),""))</f>
        <v>Quyết định / duyệt (giả định)</v>
      </c>
      <c r="E27" s="23" t="str">
        <f aca="false">IF($B27="","",IFERROR(INDEX('Mẫu task'!$D$5:$D$64,MATCH($B27,'Mẫu task'!$A$5:$A$64,0)),""))</f>
        <v>Thông báo kết quả cho partner</v>
      </c>
      <c r="F27" s="23" t="str">
        <f aca="false">IF($B27="","",IFERROR(INDEX('Mẫu task'!$E$5:$E$64,MATCH($B27,'Mẫu task'!$A$5:$A$64,0)),""))</f>
        <v>Quyết định 6.1</v>
      </c>
      <c r="G27" s="19" t="s">
        <v>77</v>
      </c>
      <c r="H27" s="20"/>
      <c r="I27" s="14" t="n">
        <f aca="false">IF($B27="","",IFERROR(INDEX('Mẫu task'!$H$5:$H$64,MATCH($B27,'Mẫu task'!$A$5:$A$64,0)),""))</f>
        <v>2</v>
      </c>
      <c r="J27" s="24" t="str">
        <f aca="false">IF(OR($H27="",$I27=""),"",$H27+$I27)</f>
        <v/>
      </c>
      <c r="K27" s="22" t="s">
        <v>115</v>
      </c>
      <c r="L27" s="20"/>
      <c r="M27" s="14" t="str">
        <f aca="true">IF($B27="","",IF($K27="Hoàn thành","Xong",IF($K27="Không áp dụng","—",IF($K27="Bị chặn","Bị chặn",IF($O27=1,"TRỄ "&amp;(TODAY()-$J27)&amp;" ngày",IF(AND($K27="Đang làm",$P27&gt;0),"Bước trước chưa xong",IF(AND($J27&lt;&gt;"",N($J27)-TODAY()&lt;=3),"Sắp đến hạn",IF($K27="Đang làm","Đang làm","Chưa bắt đầu"))))))))</f>
        <v>Chưa bắt đầu</v>
      </c>
      <c r="N27" s="25"/>
      <c r="O27" s="26" t="n">
        <f aca="true">IF(AND($B27&lt;&gt;"",$K27&lt;&gt;"Hoàn thành",$K27&lt;&gt;"Không áp dụng",$J27&lt;&gt;""),IF($J27&lt;TODAY(),1,0),0)</f>
        <v>0</v>
      </c>
      <c r="P27" s="26" t="n">
        <f aca="false">IF(AND($B27&lt;&gt;"",$C27&lt;&gt;"",N($C27)&gt;1),COUNTIFS(Task!$A$5:$A$404,$A27,Task!$C$5:$C$404,N($C27)-1,Task!$K$5:$K$404,"&lt;&gt;Hoàn thành",Task!$K$5:$K$404,"&lt;&gt;Không áp dụng"),0)</f>
        <v>5</v>
      </c>
    </row>
    <row r="28" customFormat="false" ht="23.85" hidden="false" customHeight="false" outlineLevel="0" collapsed="false">
      <c r="A28" s="19" t="s">
        <v>74</v>
      </c>
      <c r="B28" s="22" t="s">
        <v>126</v>
      </c>
      <c r="C28" s="14" t="n">
        <f aca="false">IF($B28="","",IFERROR(INDEX('Mẫu task'!$B$5:$B$64,MATCH($B28,'Mẫu task'!$A$5:$A$64,0)),""))</f>
        <v>7</v>
      </c>
      <c r="D28" s="15" t="str">
        <f aca="false">IF($C28="","",IFERROR(INDEX('Quy trình'!$B$5:$B$12,MATCH($C28,'Quy trình'!$A$5:$A$12,0)),""))</f>
        <v>MOA</v>
      </c>
      <c r="E28" s="23" t="str">
        <f aca="false">IF($B28="","",IFERROR(INDEX('Mẫu task'!$D$5:$D$64,MATCH($B28,'Mẫu task'!$A$5:$A$64,0)),""))</f>
        <v>Chốt mô hình hợp tác và tài chính</v>
      </c>
      <c r="F28" s="23" t="str">
        <f aca="false">IF($B28="","",IFERROR(INDEX('Mẫu task'!$E$5:$E$64,MATCH($B28,'Mẫu task'!$A$5:$A$64,0)),""))</f>
        <v>Price policy; collaboration model; chính sách giá VNW</v>
      </c>
      <c r="G28" s="19" t="s">
        <v>77</v>
      </c>
      <c r="H28" s="20"/>
      <c r="I28" s="14" t="n">
        <f aca="false">IF($B28="","",IFERROR(INDEX('Mẫu task'!$H$5:$H$64,MATCH($B28,'Mẫu task'!$A$5:$A$64,0)),""))</f>
        <v>7</v>
      </c>
      <c r="J28" s="24" t="str">
        <f aca="false">IF(OR($H28="",$I28=""),"",$H28+$I28)</f>
        <v/>
      </c>
      <c r="K28" s="22" t="s">
        <v>115</v>
      </c>
      <c r="L28" s="20"/>
      <c r="M28" s="14" t="str">
        <f aca="true">IF($B28="","",IF($K28="Hoàn thành","Xong",IF($K28="Không áp dụng","—",IF($K28="Bị chặn","Bị chặn",IF($O28=1,"TRỄ "&amp;(TODAY()-$J28)&amp;" ngày",IF(AND($K28="Đang làm",$P28&gt;0),"Bước trước chưa xong",IF(AND($J28&lt;&gt;"",N($J28)-TODAY()&lt;=3),"Sắp đến hạn",IF($K28="Đang làm","Đang làm","Chưa bắt đầu"))))))))</f>
        <v>Chưa bắt đầu</v>
      </c>
      <c r="N28" s="25"/>
      <c r="O28" s="26" t="n">
        <f aca="true">IF(AND($B28&lt;&gt;"",$K28&lt;&gt;"Hoàn thành",$K28&lt;&gt;"Không áp dụng",$J28&lt;&gt;""),IF($J28&lt;TODAY(),1,0),0)</f>
        <v>0</v>
      </c>
      <c r="P28" s="26" t="n">
        <f aca="false">IF(AND($B28&lt;&gt;"",$C28&lt;&gt;"",N($C28)&gt;1),COUNTIFS(Task!$A$5:$A$404,$A28,Task!$C$5:$C$404,N($C28)-1,Task!$K$5:$K$404,"&lt;&gt;Hoàn thành",Task!$K$5:$K$404,"&lt;&gt;Không áp dụng"),0)</f>
        <v>2</v>
      </c>
    </row>
    <row r="29" customFormat="false" ht="15" hidden="false" customHeight="false" outlineLevel="0" collapsed="false">
      <c r="A29" s="19" t="s">
        <v>74</v>
      </c>
      <c r="B29" s="22" t="s">
        <v>127</v>
      </c>
      <c r="C29" s="14" t="n">
        <f aca="false">IF($B29="","",IFERROR(INDEX('Mẫu task'!$B$5:$B$64,MATCH($B29,'Mẫu task'!$A$5:$A$64,0)),""))</f>
        <v>7</v>
      </c>
      <c r="D29" s="15" t="str">
        <f aca="false">IF($C29="","",IFERROR(INDEX('Quy trình'!$B$5:$B$12,MATCH($C29,'Quy trình'!$A$5:$A$12,0)),""))</f>
        <v>MOA</v>
      </c>
      <c r="E29" s="23" t="str">
        <f aca="false">IF($B29="","",IFERROR(INDEX('Mẫu task'!$D$5:$D$64,MATCH($B29,'Mẫu task'!$A$5:$A$64,0)),""))</f>
        <v>Soạn dự thảo MOA</v>
      </c>
      <c r="F29" s="23" t="str">
        <f aca="false">IF($B29="","",IFERROR(INDEX('Mẫu task'!$E$5:$E$64,MATCH($B29,'Mẫu task'!$A$5:$A$64,0)),""))</f>
        <v>Mô hình 7.1</v>
      </c>
      <c r="G29" s="19" t="s">
        <v>107</v>
      </c>
      <c r="H29" s="20"/>
      <c r="I29" s="14" t="n">
        <f aca="false">IF($B29="","",IFERROR(INDEX('Mẫu task'!$H$5:$H$64,MATCH($B29,'Mẫu task'!$A$5:$A$64,0)),""))</f>
        <v>5</v>
      </c>
      <c r="J29" s="24" t="str">
        <f aca="false">IF(OR($H29="",$I29=""),"",$H29+$I29)</f>
        <v/>
      </c>
      <c r="K29" s="22" t="s">
        <v>115</v>
      </c>
      <c r="L29" s="20"/>
      <c r="M29" s="14" t="str">
        <f aca="true">IF($B29="","",IF($K29="Hoàn thành","Xong",IF($K29="Không áp dụng","—",IF($K29="Bị chặn","Bị chặn",IF($O29=1,"TRỄ "&amp;(TODAY()-$J29)&amp;" ngày",IF(AND($K29="Đang làm",$P29&gt;0),"Bước trước chưa xong",IF(AND($J29&lt;&gt;"",N($J29)-TODAY()&lt;=3),"Sắp đến hạn",IF($K29="Đang làm","Đang làm","Chưa bắt đầu"))))))))</f>
        <v>Chưa bắt đầu</v>
      </c>
      <c r="N29" s="25"/>
      <c r="O29" s="26" t="n">
        <f aca="true">IF(AND($B29&lt;&gt;"",$K29&lt;&gt;"Hoàn thành",$K29&lt;&gt;"Không áp dụng",$J29&lt;&gt;""),IF($J29&lt;TODAY(),1,0),0)</f>
        <v>0</v>
      </c>
      <c r="P29" s="26" t="n">
        <f aca="false">IF(AND($B29&lt;&gt;"",$C29&lt;&gt;"",N($C29)&gt;1),COUNTIFS(Task!$A$5:$A$404,$A29,Task!$C$5:$C$404,N($C29)-1,Task!$K$5:$K$404,"&lt;&gt;Hoàn thành",Task!$K$5:$K$404,"&lt;&gt;Không áp dụng"),0)</f>
        <v>2</v>
      </c>
    </row>
    <row r="30" customFormat="false" ht="15" hidden="false" customHeight="false" outlineLevel="0" collapsed="false">
      <c r="A30" s="19" t="s">
        <v>74</v>
      </c>
      <c r="B30" s="22" t="s">
        <v>128</v>
      </c>
      <c r="C30" s="14" t="n">
        <f aca="false">IF($B30="","",IFERROR(INDEX('Mẫu task'!$B$5:$B$64,MATCH($B30,'Mẫu task'!$A$5:$A$64,0)),""))</f>
        <v>7</v>
      </c>
      <c r="D30" s="15" t="str">
        <f aca="false">IF($C30="","",IFERROR(INDEX('Quy trình'!$B$5:$B$12,MATCH($C30,'Quy trình'!$A$5:$A$12,0)),""))</f>
        <v>MOA</v>
      </c>
      <c r="E30" s="23" t="str">
        <f aca="false">IF($B30="","",IFERROR(INDEX('Mẫu task'!$D$5:$D$64,MATCH($B30,'Mẫu task'!$A$5:$A$64,0)),""))</f>
        <v>Pháp chế rà soát MOA</v>
      </c>
      <c r="F30" s="23" t="str">
        <f aca="false">IF($B30="","",IFERROR(INDEX('Mẫu task'!$E$5:$E$64,MATCH($B30,'Mẫu task'!$A$5:$A$64,0)),""))</f>
        <v>Dự thảo MOA</v>
      </c>
      <c r="G30" s="19" t="s">
        <v>107</v>
      </c>
      <c r="H30" s="20"/>
      <c r="I30" s="14" t="n">
        <f aca="false">IF($B30="","",IFERROR(INDEX('Mẫu task'!$H$5:$H$64,MATCH($B30,'Mẫu task'!$A$5:$A$64,0)),""))</f>
        <v>5</v>
      </c>
      <c r="J30" s="24" t="str">
        <f aca="false">IF(OR($H30="",$I30=""),"",$H30+$I30)</f>
        <v/>
      </c>
      <c r="K30" s="22" t="s">
        <v>115</v>
      </c>
      <c r="L30" s="20"/>
      <c r="M30" s="14" t="str">
        <f aca="true">IF($B30="","",IF($K30="Hoàn thành","Xong",IF($K30="Không áp dụng","—",IF($K30="Bị chặn","Bị chặn",IF($O30=1,"TRỄ "&amp;(TODAY()-$J30)&amp;" ngày",IF(AND($K30="Đang làm",$P30&gt;0),"Bước trước chưa xong",IF(AND($J30&lt;&gt;"",N($J30)-TODAY()&lt;=3),"Sắp đến hạn",IF($K30="Đang làm","Đang làm","Chưa bắt đầu"))))))))</f>
        <v>Chưa bắt đầu</v>
      </c>
      <c r="N30" s="25"/>
      <c r="O30" s="26" t="n">
        <f aca="true">IF(AND($B30&lt;&gt;"",$K30&lt;&gt;"Hoàn thành",$K30&lt;&gt;"Không áp dụng",$J30&lt;&gt;""),IF($J30&lt;TODAY(),1,0),0)</f>
        <v>0</v>
      </c>
      <c r="P30" s="26" t="n">
        <f aca="false">IF(AND($B30&lt;&gt;"",$C30&lt;&gt;"",N($C30)&gt;1),COUNTIFS(Task!$A$5:$A$404,$A30,Task!$C$5:$C$404,N($C30)-1,Task!$K$5:$K$404,"&lt;&gt;Hoàn thành",Task!$K$5:$K$404,"&lt;&gt;Không áp dụng"),0)</f>
        <v>2</v>
      </c>
    </row>
    <row r="31" customFormat="false" ht="15" hidden="false" customHeight="false" outlineLevel="0" collapsed="false">
      <c r="A31" s="19" t="s">
        <v>74</v>
      </c>
      <c r="B31" s="22" t="s">
        <v>129</v>
      </c>
      <c r="C31" s="14" t="n">
        <f aca="false">IF($B31="","",IFERROR(INDEX('Mẫu task'!$B$5:$B$64,MATCH($B31,'Mẫu task'!$A$5:$A$64,0)),""))</f>
        <v>7</v>
      </c>
      <c r="D31" s="15" t="str">
        <f aca="false">IF($C31="","",IFERROR(INDEX('Quy trình'!$B$5:$B$12,MATCH($C31,'Quy trình'!$A$5:$A$12,0)),""))</f>
        <v>MOA</v>
      </c>
      <c r="E31" s="23" t="str">
        <f aca="false">IF($B31="","",IFERROR(INDEX('Mẫu task'!$D$5:$D$64,MATCH($B31,'Mẫu task'!$A$5:$A$64,0)),""))</f>
        <v>Thương lượng và ký MOA</v>
      </c>
      <c r="F31" s="23" t="str">
        <f aca="false">IF($B31="","",IFERROR(INDEX('Mẫu task'!$E$5:$E$64,MATCH($B31,'Mẫu task'!$A$5:$A$64,0)),""))</f>
        <v>MOA đã rà soát; người ký</v>
      </c>
      <c r="G31" s="19" t="s">
        <v>77</v>
      </c>
      <c r="H31" s="20"/>
      <c r="I31" s="14" t="n">
        <f aca="false">IF($B31="","",IFERROR(INDEX('Mẫu task'!$H$5:$H$64,MATCH($B31,'Mẫu task'!$A$5:$A$64,0)),""))</f>
        <v>10</v>
      </c>
      <c r="J31" s="24" t="str">
        <f aca="false">IF(OR($H31="",$I31=""),"",$H31+$I31)</f>
        <v/>
      </c>
      <c r="K31" s="22" t="s">
        <v>115</v>
      </c>
      <c r="L31" s="20"/>
      <c r="M31" s="14" t="str">
        <f aca="true">IF($B31="","",IF($K31="Hoàn thành","Xong",IF($K31="Không áp dụng","—",IF($K31="Bị chặn","Bị chặn",IF($O31=1,"TRỄ "&amp;(TODAY()-$J31)&amp;" ngày",IF(AND($K31="Đang làm",$P31&gt;0),"Bước trước chưa xong",IF(AND($J31&lt;&gt;"",N($J31)-TODAY()&lt;=3),"Sắp đến hạn",IF($K31="Đang làm","Đang làm","Chưa bắt đầu"))))))))</f>
        <v>Chưa bắt đầu</v>
      </c>
      <c r="N31" s="25"/>
      <c r="O31" s="26" t="n">
        <f aca="true">IF(AND($B31&lt;&gt;"",$K31&lt;&gt;"Hoàn thành",$K31&lt;&gt;"Không áp dụng",$J31&lt;&gt;""),IF($J31&lt;TODAY(),1,0),0)</f>
        <v>0</v>
      </c>
      <c r="P31" s="26" t="n">
        <f aca="false">IF(AND($B31&lt;&gt;"",$C31&lt;&gt;"",N($C31)&gt;1),COUNTIFS(Task!$A$5:$A$404,$A31,Task!$C$5:$C$404,N($C31)-1,Task!$K$5:$K$404,"&lt;&gt;Hoàn thành",Task!$K$5:$K$404,"&lt;&gt;Không áp dụng"),0)</f>
        <v>2</v>
      </c>
    </row>
    <row r="32" customFormat="false" ht="23.85" hidden="false" customHeight="false" outlineLevel="0" collapsed="false">
      <c r="A32" s="19" t="s">
        <v>74</v>
      </c>
      <c r="B32" s="22" t="s">
        <v>130</v>
      </c>
      <c r="C32" s="14" t="n">
        <f aca="false">IF($B32="","",IFERROR(INDEX('Mẫu task'!$B$5:$B$64,MATCH($B32,'Mẫu task'!$A$5:$A$64,0)),""))</f>
        <v>8</v>
      </c>
      <c r="D32" s="15" t="str">
        <f aca="false">IF($C32="","",IFERROR(INDEX('Quy trình'!$B$5:$B$12,MATCH($C32,'Quy trình'!$A$5:$A$12,0)),""))</f>
        <v>Sau ký: vận hành liên tục</v>
      </c>
      <c r="E32" s="23" t="str">
        <f aca="false">IF($B32="","",IFERROR(INDEX('Mẫu task'!$D$5:$D$64,MATCH($B32,'Mẫu task'!$A$5:$A$64,0)),""))</f>
        <v>Truyền thông: cập nhật hồ sơ biz VNW và checklist VTF</v>
      </c>
      <c r="F32" s="23" t="str">
        <f aca="false">IF($B32="","",IFERROR(INDEX('Mẫu task'!$E$5:$E$64,MATCH($B32,'Mẫu task'!$A$5:$A$64,0)),""))</f>
        <v>Thông tin partner mới</v>
      </c>
      <c r="G32" s="19" t="s">
        <v>131</v>
      </c>
      <c r="H32" s="20"/>
      <c r="I32" s="14" t="n">
        <f aca="false">IF($B32="","",IFERROR(INDEX('Mẫu task'!$H$5:$H$64,MATCH($B32,'Mẫu task'!$A$5:$A$64,0)),""))</f>
        <v>5</v>
      </c>
      <c r="J32" s="24" t="str">
        <f aca="false">IF(OR($H32="",$I32=""),"",$H32+$I32)</f>
        <v/>
      </c>
      <c r="K32" s="22" t="s">
        <v>115</v>
      </c>
      <c r="L32" s="20"/>
      <c r="M32" s="14" t="str">
        <f aca="true">IF($B32="","",IF($K32="Hoàn thành","Xong",IF($K32="Không áp dụng","—",IF($K32="Bị chặn","Bị chặn",IF($O32=1,"TRỄ "&amp;(TODAY()-$J32)&amp;" ngày",IF(AND($K32="Đang làm",$P32&gt;0),"Bước trước chưa xong",IF(AND($J32&lt;&gt;"",N($J32)-TODAY()&lt;=3),"Sắp đến hạn",IF($K32="Đang làm","Đang làm","Chưa bắt đầu"))))))))</f>
        <v>Chưa bắt đầu</v>
      </c>
      <c r="N32" s="25"/>
      <c r="O32" s="26" t="n">
        <f aca="true">IF(AND($B32&lt;&gt;"",$K32&lt;&gt;"Hoàn thành",$K32&lt;&gt;"Không áp dụng",$J32&lt;&gt;""),IF($J32&lt;TODAY(),1,0),0)</f>
        <v>0</v>
      </c>
      <c r="P32" s="26" t="n">
        <f aca="false">IF(AND($B32&lt;&gt;"",$C32&lt;&gt;"",N($C32)&gt;1),COUNTIFS(Task!$A$5:$A$404,$A32,Task!$C$5:$C$404,N($C32)-1,Task!$K$5:$K$404,"&lt;&gt;Hoàn thành",Task!$K$5:$K$404,"&lt;&gt;Không áp dụng"),0)</f>
        <v>4</v>
      </c>
    </row>
    <row r="33" customFormat="false" ht="15" hidden="false" customHeight="false" outlineLevel="0" collapsed="false">
      <c r="A33" s="19" t="s">
        <v>74</v>
      </c>
      <c r="B33" s="22" t="s">
        <v>132</v>
      </c>
      <c r="C33" s="14" t="n">
        <f aca="false">IF($B33="","",IFERROR(INDEX('Mẫu task'!$B$5:$B$64,MATCH($B33,'Mẫu task'!$A$5:$A$64,0)),""))</f>
        <v>8</v>
      </c>
      <c r="D33" s="15" t="str">
        <f aca="false">IF($C33="","",IFERROR(INDEX('Quy trình'!$B$5:$B$12,MATCH($C33,'Quy trình'!$A$5:$A$12,0)),""))</f>
        <v>Sau ký: vận hành liên tục</v>
      </c>
      <c r="E33" s="23" t="str">
        <f aca="false">IF($B33="","",IFERROR(INDEX('Mẫu task'!$D$5:$D$64,MATCH($B33,'Mẫu task'!$A$5:$A$64,0)),""))</f>
        <v>Truyền thông: partner công bố hợp tác</v>
      </c>
      <c r="F33" s="23" t="str">
        <f aca="false">IF($B33="","",IFERROR(INDEX('Mẫu task'!$E$5:$E$64,MATCH($B33,'Mẫu task'!$A$5:$A$64,0)),""))</f>
        <v>Nội dung truyền thông thống nhất</v>
      </c>
      <c r="G33" s="19" t="s">
        <v>131</v>
      </c>
      <c r="H33" s="20"/>
      <c r="I33" s="14" t="n">
        <f aca="false">IF($B33="","",IFERROR(INDEX('Mẫu task'!$H$5:$H$64,MATCH($B33,'Mẫu task'!$A$5:$A$64,0)),""))</f>
        <v>5</v>
      </c>
      <c r="J33" s="24" t="str">
        <f aca="false">IF(OR($H33="",$I33=""),"",$H33+$I33)</f>
        <v/>
      </c>
      <c r="K33" s="22" t="s">
        <v>115</v>
      </c>
      <c r="L33" s="20"/>
      <c r="M33" s="14" t="str">
        <f aca="true">IF($B33="","",IF($K33="Hoàn thành","Xong",IF($K33="Không áp dụng","—",IF($K33="Bị chặn","Bị chặn",IF($O33=1,"TRỄ "&amp;(TODAY()-$J33)&amp;" ngày",IF(AND($K33="Đang làm",$P33&gt;0),"Bước trước chưa xong",IF(AND($J33&lt;&gt;"",N($J33)-TODAY()&lt;=3),"Sắp đến hạn",IF($K33="Đang làm","Đang làm","Chưa bắt đầu"))))))))</f>
        <v>Chưa bắt đầu</v>
      </c>
      <c r="N33" s="25"/>
      <c r="O33" s="26" t="n">
        <f aca="true">IF(AND($B33&lt;&gt;"",$K33&lt;&gt;"Hoàn thành",$K33&lt;&gt;"Không áp dụng",$J33&lt;&gt;""),IF($J33&lt;TODAY(),1,0),0)</f>
        <v>0</v>
      </c>
      <c r="P33" s="26" t="n">
        <f aca="false">IF(AND($B33&lt;&gt;"",$C33&lt;&gt;"",N($C33)&gt;1),COUNTIFS(Task!$A$5:$A$404,$A33,Task!$C$5:$C$404,N($C33)-1,Task!$K$5:$K$404,"&lt;&gt;Hoàn thành",Task!$K$5:$K$404,"&lt;&gt;Không áp dụng"),0)</f>
        <v>4</v>
      </c>
    </row>
    <row r="34" customFormat="false" ht="15" hidden="false" customHeight="false" outlineLevel="0" collapsed="false">
      <c r="A34" s="19" t="s">
        <v>74</v>
      </c>
      <c r="B34" s="22" t="s">
        <v>133</v>
      </c>
      <c r="C34" s="14" t="n">
        <f aca="false">IF($B34="","",IFERROR(INDEX('Mẫu task'!$B$5:$B$64,MATCH($B34,'Mẫu task'!$A$5:$A$64,0)),""))</f>
        <v>8</v>
      </c>
      <c r="D34" s="15" t="str">
        <f aca="false">IF($C34="","",IFERROR(INDEX('Quy trình'!$B$5:$B$12,MATCH($C34,'Quy trình'!$A$5:$A$12,0)),""))</f>
        <v>Sau ký: vận hành liên tục</v>
      </c>
      <c r="E34" s="23" t="str">
        <f aca="false">IF($B34="","",IFERROR(INDEX('Mẫu task'!$D$5:$D$64,MATCH($B34,'Mẫu task'!$A$5:$A$64,0)),""))</f>
        <v>Đóng gói VTF theo ngành</v>
      </c>
      <c r="F34" s="23" t="str">
        <f aca="false">IF($B34="","",IFERROR(INDEX('Mẫu task'!$E$5:$E$64,MATCH($B34,'Mẫu task'!$A$5:$A$64,0)),""))</f>
        <v>Gói giải pháp, giá, mô hình hợp tác</v>
      </c>
      <c r="G34" s="19" t="s">
        <v>134</v>
      </c>
      <c r="H34" s="20"/>
      <c r="I34" s="14" t="n">
        <f aca="false">IF($B34="","",IFERROR(INDEX('Mẫu task'!$H$5:$H$64,MATCH($B34,'Mẫu task'!$A$5:$A$64,0)),""))</f>
        <v>10</v>
      </c>
      <c r="J34" s="24" t="str">
        <f aca="false">IF(OR($H34="",$I34=""),"",$H34+$I34)</f>
        <v/>
      </c>
      <c r="K34" s="22" t="s">
        <v>115</v>
      </c>
      <c r="L34" s="20"/>
      <c r="M34" s="14" t="str">
        <f aca="true">IF($B34="","",IF($K34="Hoàn thành","Xong",IF($K34="Không áp dụng","—",IF($K34="Bị chặn","Bị chặn",IF($O34=1,"TRỄ "&amp;(TODAY()-$J34)&amp;" ngày",IF(AND($K34="Đang làm",$P34&gt;0),"Bước trước chưa xong",IF(AND($J34&lt;&gt;"",N($J34)-TODAY()&lt;=3),"Sắp đến hạn",IF($K34="Đang làm","Đang làm","Chưa bắt đầu"))))))))</f>
        <v>Chưa bắt đầu</v>
      </c>
      <c r="N34" s="25"/>
      <c r="O34" s="26" t="n">
        <f aca="true">IF(AND($B34&lt;&gt;"",$K34&lt;&gt;"Hoàn thành",$K34&lt;&gt;"Không áp dụng",$J34&lt;&gt;""),IF($J34&lt;TODAY(),1,0),0)</f>
        <v>0</v>
      </c>
      <c r="P34" s="26" t="n">
        <f aca="false">IF(AND($B34&lt;&gt;"",$C34&lt;&gt;"",N($C34)&gt;1),COUNTIFS(Task!$A$5:$A$404,$A34,Task!$C$5:$C$404,N($C34)-1,Task!$K$5:$K$404,"&lt;&gt;Hoàn thành",Task!$K$5:$K$404,"&lt;&gt;Không áp dụng"),0)</f>
        <v>4</v>
      </c>
    </row>
    <row r="35" customFormat="false" ht="15" hidden="false" customHeight="false" outlineLevel="0" collapsed="false">
      <c r="A35" s="19" t="s">
        <v>74</v>
      </c>
      <c r="B35" s="22" t="s">
        <v>135</v>
      </c>
      <c r="C35" s="14" t="n">
        <f aca="false">IF($B35="","",IFERROR(INDEX('Mẫu task'!$B$5:$B$64,MATCH($B35,'Mẫu task'!$A$5:$A$64,0)),""))</f>
        <v>8</v>
      </c>
      <c r="D35" s="15" t="str">
        <f aca="false">IF($C35="","",IFERROR(INDEX('Quy trình'!$B$5:$B$12,MATCH($C35,'Quy trình'!$A$5:$A$12,0)),""))</f>
        <v>Sau ký: vận hành liên tục</v>
      </c>
      <c r="E35" s="23" t="str">
        <f aca="false">IF($B35="","",IFERROR(INDEX('Mẫu task'!$D$5:$D$64,MATCH($B35,'Mẫu task'!$A$5:$A$64,0)),""))</f>
        <v>Chuẩn bị tài liệu đào tạo 2 chiều</v>
      </c>
      <c r="F35" s="23" t="str">
        <f aca="false">IF($B35="","",IFERROR(INDEX('Mẫu task'!$E$5:$E$64,MATCH($B35,'Mẫu task'!$A$5:$A$64,0)),""))</f>
        <v>Tài liệu sản phẩm hai bên</v>
      </c>
      <c r="G35" s="19" t="s">
        <v>136</v>
      </c>
      <c r="H35" s="20"/>
      <c r="I35" s="14" t="n">
        <f aca="false">IF($B35="","",IFERROR(INDEX('Mẫu task'!$H$5:$H$64,MATCH($B35,'Mẫu task'!$A$5:$A$64,0)),""))</f>
        <v>7</v>
      </c>
      <c r="J35" s="24" t="str">
        <f aca="false">IF(OR($H35="",$I35=""),"",$H35+$I35)</f>
        <v/>
      </c>
      <c r="K35" s="22" t="s">
        <v>115</v>
      </c>
      <c r="L35" s="20"/>
      <c r="M35" s="14" t="str">
        <f aca="true">IF($B35="","",IF($K35="Hoàn thành","Xong",IF($K35="Không áp dụng","—",IF($K35="Bị chặn","Bị chặn",IF($O35=1,"TRỄ "&amp;(TODAY()-$J35)&amp;" ngày",IF(AND($K35="Đang làm",$P35&gt;0),"Bước trước chưa xong",IF(AND($J35&lt;&gt;"",N($J35)-TODAY()&lt;=3),"Sắp đến hạn",IF($K35="Đang làm","Đang làm","Chưa bắt đầu"))))))))</f>
        <v>Chưa bắt đầu</v>
      </c>
      <c r="N35" s="25"/>
      <c r="O35" s="26" t="n">
        <f aca="true">IF(AND($B35&lt;&gt;"",$K35&lt;&gt;"Hoàn thành",$K35&lt;&gt;"Không áp dụng",$J35&lt;&gt;""),IF($J35&lt;TODAY(),1,0),0)</f>
        <v>0</v>
      </c>
      <c r="P35" s="26" t="n">
        <f aca="false">IF(AND($B35&lt;&gt;"",$C35&lt;&gt;"",N($C35)&gt;1),COUNTIFS(Task!$A$5:$A$404,$A35,Task!$C$5:$C$404,N($C35)-1,Task!$K$5:$K$404,"&lt;&gt;Hoàn thành",Task!$K$5:$K$404,"&lt;&gt;Không áp dụng"),0)</f>
        <v>4</v>
      </c>
    </row>
    <row r="36" customFormat="false" ht="15" hidden="false" customHeight="false" outlineLevel="0" collapsed="false">
      <c r="A36" s="19" t="s">
        <v>74</v>
      </c>
      <c r="B36" s="22" t="s">
        <v>137</v>
      </c>
      <c r="C36" s="14" t="n">
        <f aca="false">IF($B36="","",IFERROR(INDEX('Mẫu task'!$B$5:$B$64,MATCH($B36,'Mẫu task'!$A$5:$A$64,0)),""))</f>
        <v>8</v>
      </c>
      <c r="D36" s="15" t="str">
        <f aca="false">IF($C36="","",IFERROR(INDEX('Quy trình'!$B$5:$B$12,MATCH($C36,'Quy trình'!$A$5:$A$12,0)),""))</f>
        <v>Sau ký: vận hành liên tục</v>
      </c>
      <c r="E36" s="23" t="str">
        <f aca="false">IF($B36="","",IFERROR(INDEX('Mẫu task'!$D$5:$D$64,MATCH($B36,'Mẫu task'!$A$5:$A$64,0)),""))</f>
        <v>Chạy chương trình đào tạo VNW cho tech partner</v>
      </c>
      <c r="F36" s="23" t="str">
        <f aca="false">IF($B36="","",IFERROR(INDEX('Mẫu task'!$E$5:$E$64,MATCH($B36,'Mẫu task'!$A$5:$A$64,0)),""))</f>
        <v>Tài liệu 8.4</v>
      </c>
      <c r="G36" s="19" t="s">
        <v>136</v>
      </c>
      <c r="H36" s="20"/>
      <c r="I36" s="14" t="n">
        <f aca="false">IF($B36="","",IFERROR(INDEX('Mẫu task'!$H$5:$H$64,MATCH($B36,'Mẫu task'!$A$5:$A$64,0)),""))</f>
        <v>10</v>
      </c>
      <c r="J36" s="24" t="str">
        <f aca="false">IF(OR($H36="",$I36=""),"",$H36+$I36)</f>
        <v/>
      </c>
      <c r="K36" s="22" t="s">
        <v>115</v>
      </c>
      <c r="L36" s="20"/>
      <c r="M36" s="14" t="str">
        <f aca="true">IF($B36="","",IF($K36="Hoàn thành","Xong",IF($K36="Không áp dụng","—",IF($K36="Bị chặn","Bị chặn",IF($O36=1,"TRỄ "&amp;(TODAY()-$J36)&amp;" ngày",IF(AND($K36="Đang làm",$P36&gt;0),"Bước trước chưa xong",IF(AND($J36&lt;&gt;"",N($J36)-TODAY()&lt;=3),"Sắp đến hạn",IF($K36="Đang làm","Đang làm","Chưa bắt đầu"))))))))</f>
        <v>Chưa bắt đầu</v>
      </c>
      <c r="N36" s="25"/>
      <c r="O36" s="26" t="n">
        <f aca="true">IF(AND($B36&lt;&gt;"",$K36&lt;&gt;"Hoàn thành",$K36&lt;&gt;"Không áp dụng",$J36&lt;&gt;""),IF($J36&lt;TODAY(),1,0),0)</f>
        <v>0</v>
      </c>
      <c r="P36" s="26" t="n">
        <f aca="false">IF(AND($B36&lt;&gt;"",$C36&lt;&gt;"",N($C36)&gt;1),COUNTIFS(Task!$A$5:$A$404,$A36,Task!$C$5:$C$404,N($C36)-1,Task!$K$5:$K$404,"&lt;&gt;Hoàn thành",Task!$K$5:$K$404,"&lt;&gt;Không áp dụng"),0)</f>
        <v>4</v>
      </c>
    </row>
    <row r="37" customFormat="false" ht="15" hidden="false" customHeight="false" outlineLevel="0" collapsed="false">
      <c r="A37" s="19" t="s">
        <v>74</v>
      </c>
      <c r="B37" s="22" t="s">
        <v>138</v>
      </c>
      <c r="C37" s="14" t="n">
        <f aca="false">IF($B37="","",IFERROR(INDEX('Mẫu task'!$B$5:$B$64,MATCH($B37,'Mẫu task'!$A$5:$A$64,0)),""))</f>
        <v>8</v>
      </c>
      <c r="D37" s="15" t="str">
        <f aca="false">IF($C37="","",IFERROR(INDEX('Quy trình'!$B$5:$B$12,MATCH($C37,'Quy trình'!$A$5:$A$12,0)),""))</f>
        <v>Sau ký: vận hành liên tục</v>
      </c>
      <c r="E37" s="23" t="str">
        <f aca="false">IF($B37="","",IFERROR(INDEX('Mẫu task'!$D$5:$D$64,MATCH($B37,'Mẫu task'!$A$5:$A$64,0)),""))</f>
        <v>Biz matching với khách hàng của tech partner</v>
      </c>
      <c r="F37" s="23" t="str">
        <f aca="false">IF($B37="","",IFERROR(INDEX('Mẫu task'!$E$5:$E$64,MATCH($B37,'Mẫu task'!$A$5:$A$64,0)),""))</f>
        <v>Danh sách KH của tech partner</v>
      </c>
      <c r="G37" s="19" t="s">
        <v>77</v>
      </c>
      <c r="H37" s="20"/>
      <c r="I37" s="14" t="n">
        <f aca="false">IF($B37="","",IFERROR(INDEX('Mẫu task'!$H$5:$H$64,MATCH($B37,'Mẫu task'!$A$5:$A$64,0)),""))</f>
        <v>14</v>
      </c>
      <c r="J37" s="24" t="str">
        <f aca="false">IF(OR($H37="",$I37=""),"",$H37+$I37)</f>
        <v/>
      </c>
      <c r="K37" s="22" t="s">
        <v>115</v>
      </c>
      <c r="L37" s="20"/>
      <c r="M37" s="14" t="str">
        <f aca="true">IF($B37="","",IF($K37="Hoàn thành","Xong",IF($K37="Không áp dụng","—",IF($K37="Bị chặn","Bị chặn",IF($O37=1,"TRỄ "&amp;(TODAY()-$J37)&amp;" ngày",IF(AND($K37="Đang làm",$P37&gt;0),"Bước trước chưa xong",IF(AND($J37&lt;&gt;"",N($J37)-TODAY()&lt;=3),"Sắp đến hạn",IF($K37="Đang làm","Đang làm","Chưa bắt đầu"))))))))</f>
        <v>Chưa bắt đầu</v>
      </c>
      <c r="N37" s="25"/>
      <c r="O37" s="26" t="n">
        <f aca="true">IF(AND($B37&lt;&gt;"",$K37&lt;&gt;"Hoàn thành",$K37&lt;&gt;"Không áp dụng",$J37&lt;&gt;""),IF($J37&lt;TODAY(),1,0),0)</f>
        <v>0</v>
      </c>
      <c r="P37" s="26" t="n">
        <f aca="false">IF(AND($B37&lt;&gt;"",$C37&lt;&gt;"",N($C37)&gt;1),COUNTIFS(Task!$A$5:$A$404,$A37,Task!$C$5:$C$404,N($C37)-1,Task!$K$5:$K$404,"&lt;&gt;Hoàn thành",Task!$K$5:$K$404,"&lt;&gt;Không áp dụng"),0)</f>
        <v>4</v>
      </c>
    </row>
    <row r="38" customFormat="false" ht="15" hidden="false" customHeight="false" outlineLevel="0" collapsed="false">
      <c r="A38" s="19" t="s">
        <v>74</v>
      </c>
      <c r="B38" s="22" t="s">
        <v>139</v>
      </c>
      <c r="C38" s="14" t="n">
        <f aca="false">IF($B38="","",IFERROR(INDEX('Mẫu task'!$B$5:$B$64,MATCH($B38,'Mẫu task'!$A$5:$A$64,0)),""))</f>
        <v>8</v>
      </c>
      <c r="D38" s="15" t="str">
        <f aca="false">IF($C38="","",IFERROR(INDEX('Quy trình'!$B$5:$B$12,MATCH($C38,'Quy trình'!$A$5:$A$12,0)),""))</f>
        <v>Sau ký: vận hành liên tục</v>
      </c>
      <c r="E38" s="23" t="str">
        <f aca="false">IF($B38="","",IFERROR(INDEX('Mẫu task'!$D$5:$D$64,MATCH($B38,'Mẫu task'!$A$5:$A$64,0)),""))</f>
        <v>Thiết lập vận hành và đồng bộ định kỳ</v>
      </c>
      <c r="F38" s="23" t="str">
        <f aca="false">IF($B38="","",IFERROR(INDEX('Mẫu task'!$E$5:$E$64,MATCH($B38,'Mẫu task'!$A$5:$A$64,0)),""))</f>
        <v>Lịch họp, đầu mối hai bên</v>
      </c>
      <c r="G38" s="19" t="s">
        <v>77</v>
      </c>
      <c r="H38" s="20"/>
      <c r="I38" s="14" t="n">
        <f aca="false">IF($B38="","",IFERROR(INDEX('Mẫu task'!$H$5:$H$64,MATCH($B38,'Mẫu task'!$A$5:$A$64,0)),""))</f>
        <v>7</v>
      </c>
      <c r="J38" s="24" t="str">
        <f aca="false">IF(OR($H38="",$I38=""),"",$H38+$I38)</f>
        <v/>
      </c>
      <c r="K38" s="22" t="s">
        <v>115</v>
      </c>
      <c r="L38" s="20"/>
      <c r="M38" s="14" t="str">
        <f aca="true">IF($B38="","",IF($K38="Hoàn thành","Xong",IF($K38="Không áp dụng","—",IF($K38="Bị chặn","Bị chặn",IF($O38=1,"TRỄ "&amp;(TODAY()-$J38)&amp;" ngày",IF(AND($K38="Đang làm",$P38&gt;0),"Bước trước chưa xong",IF(AND($J38&lt;&gt;"",N($J38)-TODAY()&lt;=3),"Sắp đến hạn",IF($K38="Đang làm","Đang làm","Chưa bắt đầu"))))))))</f>
        <v>Chưa bắt đầu</v>
      </c>
      <c r="N38" s="25"/>
      <c r="O38" s="26" t="n">
        <f aca="true">IF(AND($B38&lt;&gt;"",$K38&lt;&gt;"Hoàn thành",$K38&lt;&gt;"Không áp dụng",$J38&lt;&gt;""),IF($J38&lt;TODAY(),1,0),0)</f>
        <v>0</v>
      </c>
      <c r="P38" s="26" t="n">
        <f aca="false">IF(AND($B38&lt;&gt;"",$C38&lt;&gt;"",N($C38)&gt;1),COUNTIFS(Task!$A$5:$A$404,$A38,Task!$C$5:$C$404,N($C38)-1,Task!$K$5:$K$404,"&lt;&gt;Hoàn thành",Task!$K$5:$K$404,"&lt;&gt;Không áp dụng"),0)</f>
        <v>4</v>
      </c>
    </row>
    <row r="39" customFormat="false" ht="23.85" hidden="false" customHeight="false" outlineLevel="0" collapsed="false">
      <c r="A39" s="19" t="s">
        <v>78</v>
      </c>
      <c r="B39" s="22" t="s">
        <v>97</v>
      </c>
      <c r="C39" s="14" t="n">
        <f aca="false">IF($B39="","",IFERROR(INDEX('Mẫu task'!$B$5:$B$64,MATCH($B39,'Mẫu task'!$A$5:$A$64,0)),""))</f>
        <v>1</v>
      </c>
      <c r="D39" s="15" t="str">
        <f aca="false">IF($C39="","",IFERROR(INDEX('Quy trình'!$B$5:$B$12,MATCH($C39,'Quy trình'!$A$5:$A$12,0)),""))</f>
        <v>Sourcing</v>
      </c>
      <c r="E39" s="23" t="str">
        <f aca="false">IF($B39="","",IFERROR(INDEX('Mẫu task'!$D$5:$D$64,MATCH($B39,'Mẫu task'!$A$5:$A$64,0)),""))</f>
        <v>Chốt bộ tiêu chí chọn partner (đang là dấu ? trên bảng)</v>
      </c>
      <c r="F39" s="23" t="str">
        <f aca="false">IF($B39="","",IFERROR(INDEX('Mẫu task'!$E$5:$E$64,MATCH($B39,'Mẫu task'!$A$5:$A$64,0)),""))</f>
        <v>Mục tiêu hợp tác; danh mục sản phẩm VNW cần bổ sung</v>
      </c>
      <c r="G39" s="19" t="s">
        <v>77</v>
      </c>
      <c r="H39" s="20" t="n">
        <v>46279</v>
      </c>
      <c r="I39" s="14" t="n">
        <f aca="false">IF($B39="","",IFERROR(INDEX('Mẫu task'!$H$5:$H$64,MATCH($B39,'Mẫu task'!$A$5:$A$64,0)),""))</f>
        <v>5</v>
      </c>
      <c r="J39" s="24" t="n">
        <f aca="false">IF(OR($H39="",$I39=""),"",$H39+$I39)</f>
        <v>46284</v>
      </c>
      <c r="K39" s="22" t="s">
        <v>98</v>
      </c>
      <c r="L39" s="20" t="n">
        <v>46283</v>
      </c>
      <c r="M39" s="14" t="str">
        <f aca="true">IF($B39="","",IF($K39="Hoàn thành","Xong",IF($K39="Không áp dụng","—",IF($K39="Bị chặn","Bị chặn",IF($O39=1,"TRỄ "&amp;(TODAY()-$J39)&amp;" ngày",IF(AND($K39="Đang làm",$P39&gt;0),"Bước trước chưa xong",IF(AND($J39&lt;&gt;"",N($J39)-TODAY()&lt;=3),"Sắp đến hạn",IF($K39="Đang làm","Đang làm","Chưa bắt đầu"))))))))</f>
        <v>Xong</v>
      </c>
      <c r="N39" s="25"/>
      <c r="O39" s="26" t="n">
        <f aca="true">IF(AND($B39&lt;&gt;"",$K39&lt;&gt;"Hoàn thành",$K39&lt;&gt;"Không áp dụng",$J39&lt;&gt;""),IF($J39&lt;TODAY(),1,0),0)</f>
        <v>0</v>
      </c>
      <c r="P39" s="26" t="n">
        <f aca="false">IF(AND($B39&lt;&gt;"",$C39&lt;&gt;"",N($C39)&gt;1),COUNTIFS(Task!$A$5:$A$404,$A39,Task!$C$5:$C$404,N($C39)-1,Task!$K$5:$K$404,"&lt;&gt;Hoàn thành",Task!$K$5:$K$404,"&lt;&gt;Không áp dụng"),0)</f>
        <v>0</v>
      </c>
    </row>
    <row r="40" customFormat="false" ht="15" hidden="false" customHeight="false" outlineLevel="0" collapsed="false">
      <c r="A40" s="19" t="s">
        <v>78</v>
      </c>
      <c r="B40" s="22" t="s">
        <v>99</v>
      </c>
      <c r="C40" s="14" t="n">
        <f aca="false">IF($B40="","",IFERROR(INDEX('Mẫu task'!$B$5:$B$64,MATCH($B40,'Mẫu task'!$A$5:$A$64,0)),""))</f>
        <v>1</v>
      </c>
      <c r="D40" s="15" t="str">
        <f aca="false">IF($C40="","",IFERROR(INDEX('Quy trình'!$B$5:$B$12,MATCH($C40,'Quy trình'!$A$5:$A$12,0)),""))</f>
        <v>Sourcing</v>
      </c>
      <c r="E40" s="23" t="str">
        <f aca="false">IF($B40="","",IFERROR(INDEX('Mẫu task'!$D$5:$D$64,MATCH($B40,'Mẫu task'!$A$5:$A$64,0)),""))</f>
        <v>Lập danh sách nguồn tìm partner</v>
      </c>
      <c r="F40" s="23" t="str">
        <f aca="false">IF($B40="","",IFERROR(INDEX('Mẫu task'!$E$5:$E$64,MATCH($B40,'Mẫu task'!$A$5:$A$64,0)),""))</f>
        <v>Các kênh: giới thiệu, vendor, sự kiện, thị trường</v>
      </c>
      <c r="G40" s="19" t="s">
        <v>77</v>
      </c>
      <c r="H40" s="20" t="n">
        <v>46284</v>
      </c>
      <c r="I40" s="14" t="n">
        <f aca="false">IF($B40="","",IFERROR(INDEX('Mẫu task'!$H$5:$H$64,MATCH($B40,'Mẫu task'!$A$5:$A$64,0)),""))</f>
        <v>3</v>
      </c>
      <c r="J40" s="24" t="n">
        <f aca="false">IF(OR($H40="",$I40=""),"",$H40+$I40)</f>
        <v>46287</v>
      </c>
      <c r="K40" s="22" t="s">
        <v>98</v>
      </c>
      <c r="L40" s="20" t="n">
        <v>46286</v>
      </c>
      <c r="M40" s="14" t="str">
        <f aca="true">IF($B40="","",IF($K40="Hoàn thành","Xong",IF($K40="Không áp dụng","—",IF($K40="Bị chặn","Bị chặn",IF($O40=1,"TRỄ "&amp;(TODAY()-$J40)&amp;" ngày",IF(AND($K40="Đang làm",$P40&gt;0),"Bước trước chưa xong",IF(AND($J40&lt;&gt;"",N($J40)-TODAY()&lt;=3),"Sắp đến hạn",IF($K40="Đang làm","Đang làm","Chưa bắt đầu"))))))))</f>
        <v>Xong</v>
      </c>
      <c r="N40" s="25"/>
      <c r="O40" s="26" t="n">
        <f aca="true">IF(AND($B40&lt;&gt;"",$K40&lt;&gt;"Hoàn thành",$K40&lt;&gt;"Không áp dụng",$J40&lt;&gt;""),IF($J40&lt;TODAY(),1,0),0)</f>
        <v>0</v>
      </c>
      <c r="P40" s="26" t="n">
        <f aca="false">IF(AND($B40&lt;&gt;"",$C40&lt;&gt;"",N($C40)&gt;1),COUNTIFS(Task!$A$5:$A$404,$A40,Task!$C$5:$C$404,N($C40)-1,Task!$K$5:$K$404,"&lt;&gt;Hoàn thành",Task!$K$5:$K$404,"&lt;&gt;Không áp dụng"),0)</f>
        <v>0</v>
      </c>
    </row>
    <row r="41" customFormat="false" ht="15" hidden="false" customHeight="false" outlineLevel="0" collapsed="false">
      <c r="A41" s="19" t="s">
        <v>78</v>
      </c>
      <c r="B41" s="22" t="s">
        <v>100</v>
      </c>
      <c r="C41" s="14" t="n">
        <f aca="false">IF($B41="","",IFERROR(INDEX('Mẫu task'!$B$5:$B$64,MATCH($B41,'Mẫu task'!$A$5:$A$64,0)),""))</f>
        <v>1</v>
      </c>
      <c r="D41" s="15" t="str">
        <f aca="false">IF($C41="","",IFERROR(INDEX('Quy trình'!$B$5:$B$12,MATCH($C41,'Quy trình'!$A$5:$A$12,0)),""))</f>
        <v>Sourcing</v>
      </c>
      <c r="E41" s="23" t="str">
        <f aca="false">IF($B41="","",IFERROR(INDEX('Mẫu task'!$D$5:$D$64,MATCH($B41,'Mẫu task'!$A$5:$A$64,0)),""))</f>
        <v>Lập long list và chấm sơ bộ theo tiêu chí</v>
      </c>
      <c r="F41" s="23" t="str">
        <f aca="false">IF($B41="","",IFERROR(INDEX('Mẫu task'!$E$5:$E$64,MATCH($B41,'Mẫu task'!$A$5:$A$64,0)),""))</f>
        <v>Bộ tiêu chí 1.1; danh sách nguồn 1.2</v>
      </c>
      <c r="G41" s="19" t="s">
        <v>77</v>
      </c>
      <c r="H41" s="20" t="n">
        <v>46287</v>
      </c>
      <c r="I41" s="14" t="n">
        <f aca="false">IF($B41="","",IFERROR(INDEX('Mẫu task'!$H$5:$H$64,MATCH($B41,'Mẫu task'!$A$5:$A$64,0)),""))</f>
        <v>7</v>
      </c>
      <c r="J41" s="24" t="n">
        <f aca="false">IF(OR($H41="",$I41=""),"",$H41+$I41)</f>
        <v>46294</v>
      </c>
      <c r="K41" s="22" t="s">
        <v>98</v>
      </c>
      <c r="L41" s="20" t="n">
        <v>46293</v>
      </c>
      <c r="M41" s="14" t="str">
        <f aca="true">IF($B41="","",IF($K41="Hoàn thành","Xong",IF($K41="Không áp dụng","—",IF($K41="Bị chặn","Bị chặn",IF($O41=1,"TRỄ "&amp;(TODAY()-$J41)&amp;" ngày",IF(AND($K41="Đang làm",$P41&gt;0),"Bước trước chưa xong",IF(AND($J41&lt;&gt;"",N($J41)-TODAY()&lt;=3),"Sắp đến hạn",IF($K41="Đang làm","Đang làm","Chưa bắt đầu"))))))))</f>
        <v>Xong</v>
      </c>
      <c r="N41" s="25"/>
      <c r="O41" s="26" t="n">
        <f aca="true">IF(AND($B41&lt;&gt;"",$K41&lt;&gt;"Hoàn thành",$K41&lt;&gt;"Không áp dụng",$J41&lt;&gt;""),IF($J41&lt;TODAY(),1,0),0)</f>
        <v>0</v>
      </c>
      <c r="P41" s="26" t="n">
        <f aca="false">IF(AND($B41&lt;&gt;"",$C41&lt;&gt;"",N($C41)&gt;1),COUNTIFS(Task!$A$5:$A$404,$A41,Task!$C$5:$C$404,N($C41)-1,Task!$K$5:$K$404,"&lt;&gt;Hoàn thành",Task!$K$5:$K$404,"&lt;&gt;Không áp dụng"),0)</f>
        <v>0</v>
      </c>
    </row>
    <row r="42" customFormat="false" ht="15" hidden="false" customHeight="false" outlineLevel="0" collapsed="false">
      <c r="A42" s="19" t="s">
        <v>78</v>
      </c>
      <c r="B42" s="22" t="s">
        <v>101</v>
      </c>
      <c r="C42" s="14" t="n">
        <f aca="false">IF($B42="","",IFERROR(INDEX('Mẫu task'!$B$5:$B$64,MATCH($B42,'Mẫu task'!$A$5:$A$64,0)),""))</f>
        <v>1</v>
      </c>
      <c r="D42" s="15" t="str">
        <f aca="false">IF($C42="","",IFERROR(INDEX('Quy trình'!$B$5:$B$12,MATCH($C42,'Quy trình'!$A$5:$A$12,0)),""))</f>
        <v>Sourcing</v>
      </c>
      <c r="E42" s="23" t="str">
        <f aca="false">IF($B42="","",IFERROR(INDEX('Mẫu task'!$D$5:$D$64,MATCH($B42,'Mẫu task'!$A$5:$A$64,0)),""))</f>
        <v>Chốt short list partner 'A'</v>
      </c>
      <c r="F42" s="23" t="str">
        <f aca="false">IF($B42="","",IFERROR(INDEX('Mẫu task'!$E$5:$E$64,MATCH($B42,'Mẫu task'!$A$5:$A$64,0)),""))</f>
        <v>Long list có điểm</v>
      </c>
      <c r="G42" s="19" t="s">
        <v>77</v>
      </c>
      <c r="H42" s="20" t="n">
        <v>46294</v>
      </c>
      <c r="I42" s="14" t="n">
        <f aca="false">IF($B42="","",IFERROR(INDEX('Mẫu task'!$H$5:$H$64,MATCH($B42,'Mẫu task'!$A$5:$A$64,0)),""))</f>
        <v>2</v>
      </c>
      <c r="J42" s="24" t="n">
        <f aca="false">IF(OR($H42="",$I42=""),"",$H42+$I42)</f>
        <v>46296</v>
      </c>
      <c r="K42" s="22" t="s">
        <v>98</v>
      </c>
      <c r="L42" s="20" t="n">
        <v>46295</v>
      </c>
      <c r="M42" s="14" t="str">
        <f aca="true">IF($B42="","",IF($K42="Hoàn thành","Xong",IF($K42="Không áp dụng","—",IF($K42="Bị chặn","Bị chặn",IF($O42=1,"TRỄ "&amp;(TODAY()-$J42)&amp;" ngày",IF(AND($K42="Đang làm",$P42&gt;0),"Bước trước chưa xong",IF(AND($J42&lt;&gt;"",N($J42)-TODAY()&lt;=3),"Sắp đến hạn",IF($K42="Đang làm","Đang làm","Chưa bắt đầu"))))))))</f>
        <v>Xong</v>
      </c>
      <c r="N42" s="25"/>
      <c r="O42" s="26" t="n">
        <f aca="true">IF(AND($B42&lt;&gt;"",$K42&lt;&gt;"Hoàn thành",$K42&lt;&gt;"Không áp dụng",$J42&lt;&gt;""),IF($J42&lt;TODAY(),1,0),0)</f>
        <v>0</v>
      </c>
      <c r="P42" s="26" t="n">
        <f aca="false">IF(AND($B42&lt;&gt;"",$C42&lt;&gt;"",N($C42)&gt;1),COUNTIFS(Task!$A$5:$A$404,$A42,Task!$C$5:$C$404,N($C42)-1,Task!$K$5:$K$404,"&lt;&gt;Hoàn thành",Task!$K$5:$K$404,"&lt;&gt;Không áp dụng"),0)</f>
        <v>0</v>
      </c>
    </row>
    <row r="43" customFormat="false" ht="23.85" hidden="false" customHeight="false" outlineLevel="0" collapsed="false">
      <c r="A43" s="19" t="s">
        <v>78</v>
      </c>
      <c r="B43" s="22" t="s">
        <v>102</v>
      </c>
      <c r="C43" s="14" t="n">
        <f aca="false">IF($B43="","",IFERROR(INDEX('Mẫu task'!$B$5:$B$64,MATCH($B43,'Mẫu task'!$A$5:$A$64,0)),""))</f>
        <v>2</v>
      </c>
      <c r="D43" s="15" t="str">
        <f aca="false">IF($C43="","",IFERROR(INDEX('Quy trình'!$B$5:$B$12,MATCH($C43,'Quy trình'!$A$5:$A$12,0)),""))</f>
        <v>Approach</v>
      </c>
      <c r="E43" s="23" t="str">
        <f aca="false">IF($B43="","",IFERROR(INDEX('Mẫu task'!$D$5:$D$64,MATCH($B43,'Mẫu task'!$A$5:$A$64,0)),""))</f>
        <v>Chuẩn bị presentation (công ty, VTF, đề xuất hợp tác)</v>
      </c>
      <c r="F43" s="23" t="str">
        <f aca="false">IF($B43="","",IFERROR(INDEX('Mẫu task'!$E$5:$E$64,MATCH($B43,'Mẫu task'!$A$5:$A$64,0)),""))</f>
        <v>Deck giới thiệu công ty và VTF; proposal giải pháp</v>
      </c>
      <c r="G43" s="19" t="s">
        <v>77</v>
      </c>
      <c r="H43" s="20" t="n">
        <v>46323</v>
      </c>
      <c r="I43" s="14" t="n">
        <f aca="false">IF($B43="","",IFERROR(INDEX('Mẫu task'!$H$5:$H$64,MATCH($B43,'Mẫu task'!$A$5:$A$64,0)),""))</f>
        <v>5</v>
      </c>
      <c r="J43" s="24" t="n">
        <f aca="false">IF(OR($H43="",$I43=""),"",$H43+$I43)</f>
        <v>46328</v>
      </c>
      <c r="K43" s="22" t="s">
        <v>44</v>
      </c>
      <c r="L43" s="20"/>
      <c r="M43" s="14" t="str">
        <f aca="true">IF($B43="","",IF($K43="Hoàn thành","Xong",IF($K43="Không áp dụng","—",IF($K43="Bị chặn","Bị chặn",IF($O43=1,"TRỄ "&amp;(TODAY()-$J43)&amp;" ngày",IF(AND($K43="Đang làm",$P43&gt;0),"Bước trước chưa xong",IF(AND($J43&lt;&gt;"",N($J43)-TODAY()&lt;=3),"Sắp đến hạn",IF($K43="Đang làm","Đang làm","Chưa bắt đầu"))))))))</f>
        <v>Sắp đến hạn</v>
      </c>
      <c r="N43" s="25"/>
      <c r="O43" s="26" t="n">
        <f aca="true">IF(AND($B43&lt;&gt;"",$K43&lt;&gt;"Hoàn thành",$K43&lt;&gt;"Không áp dụng",$J43&lt;&gt;""),IF($J43&lt;TODAY(),1,0),0)</f>
        <v>0</v>
      </c>
      <c r="P43" s="26" t="n">
        <f aca="false">IF(AND($B43&lt;&gt;"",$C43&lt;&gt;"",N($C43)&gt;1),COUNTIFS(Task!$A$5:$A$404,$A43,Task!$C$5:$C$404,N($C43)-1,Task!$K$5:$K$404,"&lt;&gt;Hoàn thành",Task!$K$5:$K$404,"&lt;&gt;Không áp dụng"),0)</f>
        <v>0</v>
      </c>
    </row>
    <row r="44" customFormat="false" ht="15" hidden="false" customHeight="false" outlineLevel="0" collapsed="false">
      <c r="A44" s="19" t="s">
        <v>78</v>
      </c>
      <c r="B44" s="22" t="s">
        <v>103</v>
      </c>
      <c r="C44" s="14" t="n">
        <f aca="false">IF($B44="","",IFERROR(INDEX('Mẫu task'!$B$5:$B$64,MATCH($B44,'Mẫu task'!$A$5:$A$64,0)),""))</f>
        <v>2</v>
      </c>
      <c r="D44" s="15" t="str">
        <f aca="false">IF($C44="","",IFERROR(INDEX('Quy trình'!$B$5:$B$12,MATCH($C44,'Quy trình'!$A$5:$A$12,0)),""))</f>
        <v>Approach</v>
      </c>
      <c r="E44" s="23" t="str">
        <f aca="false">IF($B44="","",IFERROR(INDEX('Mẫu task'!$D$5:$D$64,MATCH($B44,'Mẫu task'!$A$5:$A$64,0)),""))</f>
        <v>Liên hệ đầu mối partner và đặt lịch</v>
      </c>
      <c r="F44" s="23" t="str">
        <f aca="false">IF($B44="","",IFERROR(INDEX('Mẫu task'!$E$5:$E$64,MATCH($B44,'Mẫu task'!$A$5:$A$64,0)),""))</f>
        <v>Thông tin đầu mối phía partner</v>
      </c>
      <c r="G44" s="19" t="s">
        <v>77</v>
      </c>
      <c r="H44" s="20" t="n">
        <v>46323</v>
      </c>
      <c r="I44" s="14" t="n">
        <f aca="false">IF($B44="","",IFERROR(INDEX('Mẫu task'!$H$5:$H$64,MATCH($B44,'Mẫu task'!$A$5:$A$64,0)),""))</f>
        <v>3</v>
      </c>
      <c r="J44" s="24" t="n">
        <f aca="false">IF(OR($H44="",$I44=""),"",$H44+$I44)</f>
        <v>46326</v>
      </c>
      <c r="K44" s="22" t="s">
        <v>45</v>
      </c>
      <c r="L44" s="20"/>
      <c r="M44" s="14" t="str">
        <f aca="true">IF($B44="","",IF($K44="Hoàn thành","Xong",IF($K44="Không áp dụng","—",IF($K44="Bị chặn","Bị chặn",IF($O44=1,"TRỄ "&amp;(TODAY()-$J44)&amp;" ngày",IF(AND($K44="Đang làm",$P44&gt;0),"Bước trước chưa xong",IF(AND($J44&lt;&gt;"",N($J44)-TODAY()&lt;=3),"Sắp đến hạn",IF($K44="Đang làm","Đang làm","Chưa bắt đầu"))))))))</f>
        <v>Bị chặn</v>
      </c>
      <c r="N44" s="25"/>
      <c r="O44" s="26" t="n">
        <f aca="true">IF(AND($B44&lt;&gt;"",$K44&lt;&gt;"Hoàn thành",$K44&lt;&gt;"Không áp dụng",$J44&lt;&gt;""),IF($J44&lt;TODAY(),1,0),0)</f>
        <v>0</v>
      </c>
      <c r="P44" s="26" t="n">
        <f aca="false">IF(AND($B44&lt;&gt;"",$C44&lt;&gt;"",N($C44)&gt;1),COUNTIFS(Task!$A$5:$A$404,$A44,Task!$C$5:$C$404,N($C44)-1,Task!$K$5:$K$404,"&lt;&gt;Hoàn thành",Task!$K$5:$K$404,"&lt;&gt;Không áp dụng"),0)</f>
        <v>0</v>
      </c>
    </row>
    <row r="45" customFormat="false" ht="15" hidden="false" customHeight="false" outlineLevel="0" collapsed="false">
      <c r="A45" s="19"/>
      <c r="B45" s="22"/>
      <c r="C45" s="14" t="str">
        <f aca="false">IF($B45="","",IFERROR(INDEX('Mẫu task'!$B$5:$B$64,MATCH($B45,'Mẫu task'!$A$5:$A$64,0)),""))</f>
        <v/>
      </c>
      <c r="D45" s="15" t="str">
        <f aca="false">IF($C45="","",IFERROR(INDEX('Quy trình'!$B$5:$B$12,MATCH($C45,'Quy trình'!$A$5:$A$12,0)),""))</f>
        <v/>
      </c>
      <c r="E45" s="23" t="str">
        <f aca="false">IF($B45="","",IFERROR(INDEX('Mẫu task'!$D$5:$D$64,MATCH($B45,'Mẫu task'!$A$5:$A$64,0)),""))</f>
        <v/>
      </c>
      <c r="F45" s="23" t="str">
        <f aca="false">IF($B45="","",IFERROR(INDEX('Mẫu task'!$E$5:$E$64,MATCH($B45,'Mẫu task'!$A$5:$A$64,0)),""))</f>
        <v/>
      </c>
      <c r="G45" s="19"/>
      <c r="H45" s="20"/>
      <c r="I45" s="14" t="str">
        <f aca="false">IF($B45="","",IFERROR(INDEX('Mẫu task'!$H$5:$H$64,MATCH($B45,'Mẫu task'!$A$5:$A$64,0)),""))</f>
        <v/>
      </c>
      <c r="J45" s="24" t="str">
        <f aca="false">IF(OR($H45="",$I45=""),"",$H45+$I45)</f>
        <v/>
      </c>
      <c r="K45" s="22"/>
      <c r="L45" s="20"/>
      <c r="M45" s="14" t="str">
        <f aca="true">IF($B45="","",IF($K45="Hoàn thành","Xong",IF($K45="Không áp dụng","—",IF($K45="Bị chặn","Bị chặn",IF($O45=1,"TRỄ "&amp;(TODAY()-$J45)&amp;" ngày",IF(AND($K45="Đang làm",$P45&gt;0),"Bước trước chưa xong",IF(AND($J45&lt;&gt;"",N($J45)-TODAY()&lt;=3),"Sắp đến hạn",IF($K45="Đang làm","Đang làm","Chưa bắt đầu"))))))))</f>
        <v/>
      </c>
      <c r="N45" s="25"/>
      <c r="O45" s="26" t="n">
        <f aca="true">IF(AND($B45&lt;&gt;"",$K45&lt;&gt;"Hoàn thành",$K45&lt;&gt;"Không áp dụng",$J45&lt;&gt;""),IF($J45&lt;TODAY(),1,0),0)</f>
        <v>0</v>
      </c>
      <c r="P45" s="26" t="n">
        <f aca="false">IF(AND($B45&lt;&gt;"",$C45&lt;&gt;"",N($C45)&gt;1),COUNTIFS(Task!$A$5:$A$404,$A45,Task!$C$5:$C$404,N($C45)-1,Task!$K$5:$K$404,"&lt;&gt;Hoàn thành",Task!$K$5:$K$404,"&lt;&gt;Không áp dụng"),0)</f>
        <v>0</v>
      </c>
    </row>
    <row r="46" customFormat="false" ht="15" hidden="false" customHeight="false" outlineLevel="0" collapsed="false">
      <c r="A46" s="19"/>
      <c r="B46" s="22"/>
      <c r="C46" s="14" t="str">
        <f aca="false">IF($B46="","",IFERROR(INDEX('Mẫu task'!$B$5:$B$64,MATCH($B46,'Mẫu task'!$A$5:$A$64,0)),""))</f>
        <v/>
      </c>
      <c r="D46" s="15" t="str">
        <f aca="false">IF($C46="","",IFERROR(INDEX('Quy trình'!$B$5:$B$12,MATCH($C46,'Quy trình'!$A$5:$A$12,0)),""))</f>
        <v/>
      </c>
      <c r="E46" s="23" t="str">
        <f aca="false">IF($B46="","",IFERROR(INDEX('Mẫu task'!$D$5:$D$64,MATCH($B46,'Mẫu task'!$A$5:$A$64,0)),""))</f>
        <v/>
      </c>
      <c r="F46" s="23" t="str">
        <f aca="false">IF($B46="","",IFERROR(INDEX('Mẫu task'!$E$5:$E$64,MATCH($B46,'Mẫu task'!$A$5:$A$64,0)),""))</f>
        <v/>
      </c>
      <c r="G46" s="19"/>
      <c r="H46" s="20"/>
      <c r="I46" s="14" t="str">
        <f aca="false">IF($B46="","",IFERROR(INDEX('Mẫu task'!$H$5:$H$64,MATCH($B46,'Mẫu task'!$A$5:$A$64,0)),""))</f>
        <v/>
      </c>
      <c r="J46" s="24" t="str">
        <f aca="false">IF(OR($H46="",$I46=""),"",$H46+$I46)</f>
        <v/>
      </c>
      <c r="K46" s="22"/>
      <c r="L46" s="20"/>
      <c r="M46" s="14" t="str">
        <f aca="true">IF($B46="","",IF($K46="Hoàn thành","Xong",IF($K46="Không áp dụng","—",IF($K46="Bị chặn","Bị chặn",IF($O46=1,"TRỄ "&amp;(TODAY()-$J46)&amp;" ngày",IF(AND($K46="Đang làm",$P46&gt;0),"Bước trước chưa xong",IF(AND($J46&lt;&gt;"",N($J46)-TODAY()&lt;=3),"Sắp đến hạn",IF($K46="Đang làm","Đang làm","Chưa bắt đầu"))))))))</f>
        <v/>
      </c>
      <c r="N46" s="25"/>
      <c r="O46" s="26" t="n">
        <f aca="true">IF(AND($B46&lt;&gt;"",$K46&lt;&gt;"Hoàn thành",$K46&lt;&gt;"Không áp dụng",$J46&lt;&gt;""),IF($J46&lt;TODAY(),1,0),0)</f>
        <v>0</v>
      </c>
      <c r="P46" s="26" t="n">
        <f aca="false">IF(AND($B46&lt;&gt;"",$C46&lt;&gt;"",N($C46)&gt;1),COUNTIFS(Task!$A$5:$A$404,$A46,Task!$C$5:$C$404,N($C46)-1,Task!$K$5:$K$404,"&lt;&gt;Hoàn thành",Task!$K$5:$K$404,"&lt;&gt;Không áp dụng"),0)</f>
        <v>0</v>
      </c>
    </row>
    <row r="47" customFormat="false" ht="15" hidden="false" customHeight="false" outlineLevel="0" collapsed="false">
      <c r="A47" s="19"/>
      <c r="B47" s="22"/>
      <c r="C47" s="14" t="str">
        <f aca="false">IF($B47="","",IFERROR(INDEX('Mẫu task'!$B$5:$B$64,MATCH($B47,'Mẫu task'!$A$5:$A$64,0)),""))</f>
        <v/>
      </c>
      <c r="D47" s="15" t="str">
        <f aca="false">IF($C47="","",IFERROR(INDEX('Quy trình'!$B$5:$B$12,MATCH($C47,'Quy trình'!$A$5:$A$12,0)),""))</f>
        <v/>
      </c>
      <c r="E47" s="23" t="str">
        <f aca="false">IF($B47="","",IFERROR(INDEX('Mẫu task'!$D$5:$D$64,MATCH($B47,'Mẫu task'!$A$5:$A$64,0)),""))</f>
        <v/>
      </c>
      <c r="F47" s="23" t="str">
        <f aca="false">IF($B47="","",IFERROR(INDEX('Mẫu task'!$E$5:$E$64,MATCH($B47,'Mẫu task'!$A$5:$A$64,0)),""))</f>
        <v/>
      </c>
      <c r="G47" s="19"/>
      <c r="H47" s="20"/>
      <c r="I47" s="14" t="str">
        <f aca="false">IF($B47="","",IFERROR(INDEX('Mẫu task'!$H$5:$H$64,MATCH($B47,'Mẫu task'!$A$5:$A$64,0)),""))</f>
        <v/>
      </c>
      <c r="J47" s="24" t="str">
        <f aca="false">IF(OR($H47="",$I47=""),"",$H47+$I47)</f>
        <v/>
      </c>
      <c r="K47" s="22"/>
      <c r="L47" s="20"/>
      <c r="M47" s="14" t="str">
        <f aca="true">IF($B47="","",IF($K47="Hoàn thành","Xong",IF($K47="Không áp dụng","—",IF($K47="Bị chặn","Bị chặn",IF($O47=1,"TRỄ "&amp;(TODAY()-$J47)&amp;" ngày",IF(AND($K47="Đang làm",$P47&gt;0),"Bước trước chưa xong",IF(AND($J47&lt;&gt;"",N($J47)-TODAY()&lt;=3),"Sắp đến hạn",IF($K47="Đang làm","Đang làm","Chưa bắt đầu"))))))))</f>
        <v/>
      </c>
      <c r="N47" s="25"/>
      <c r="O47" s="26" t="n">
        <f aca="true">IF(AND($B47&lt;&gt;"",$K47&lt;&gt;"Hoàn thành",$K47&lt;&gt;"Không áp dụng",$J47&lt;&gt;""),IF($J47&lt;TODAY(),1,0),0)</f>
        <v>0</v>
      </c>
      <c r="P47" s="26" t="n">
        <f aca="false">IF(AND($B47&lt;&gt;"",$C47&lt;&gt;"",N($C47)&gt;1),COUNTIFS(Task!$A$5:$A$404,$A47,Task!$C$5:$C$404,N($C47)-1,Task!$K$5:$K$404,"&lt;&gt;Hoàn thành",Task!$K$5:$K$404,"&lt;&gt;Không áp dụng"),0)</f>
        <v>0</v>
      </c>
    </row>
    <row r="48" customFormat="false" ht="15" hidden="false" customHeight="false" outlineLevel="0" collapsed="false">
      <c r="A48" s="19"/>
      <c r="B48" s="22"/>
      <c r="C48" s="14" t="str">
        <f aca="false">IF($B48="","",IFERROR(INDEX('Mẫu task'!$B$5:$B$64,MATCH($B48,'Mẫu task'!$A$5:$A$64,0)),""))</f>
        <v/>
      </c>
      <c r="D48" s="15" t="str">
        <f aca="false">IF($C48="","",IFERROR(INDEX('Quy trình'!$B$5:$B$12,MATCH($C48,'Quy trình'!$A$5:$A$12,0)),""))</f>
        <v/>
      </c>
      <c r="E48" s="23" t="str">
        <f aca="false">IF($B48="","",IFERROR(INDEX('Mẫu task'!$D$5:$D$64,MATCH($B48,'Mẫu task'!$A$5:$A$64,0)),""))</f>
        <v/>
      </c>
      <c r="F48" s="23" t="str">
        <f aca="false">IF($B48="","",IFERROR(INDEX('Mẫu task'!$E$5:$E$64,MATCH($B48,'Mẫu task'!$A$5:$A$64,0)),""))</f>
        <v/>
      </c>
      <c r="G48" s="19"/>
      <c r="H48" s="20"/>
      <c r="I48" s="14" t="str">
        <f aca="false">IF($B48="","",IFERROR(INDEX('Mẫu task'!$H$5:$H$64,MATCH($B48,'Mẫu task'!$A$5:$A$64,0)),""))</f>
        <v/>
      </c>
      <c r="J48" s="24" t="str">
        <f aca="false">IF(OR($H48="",$I48=""),"",$H48+$I48)</f>
        <v/>
      </c>
      <c r="K48" s="22"/>
      <c r="L48" s="20"/>
      <c r="M48" s="14" t="str">
        <f aca="true">IF($B48="","",IF($K48="Hoàn thành","Xong",IF($K48="Không áp dụng","—",IF($K48="Bị chặn","Bị chặn",IF($O48=1,"TRỄ "&amp;(TODAY()-$J48)&amp;" ngày",IF(AND($K48="Đang làm",$P48&gt;0),"Bước trước chưa xong",IF(AND($J48&lt;&gt;"",N($J48)-TODAY()&lt;=3),"Sắp đến hạn",IF($K48="Đang làm","Đang làm","Chưa bắt đầu"))))))))</f>
        <v/>
      </c>
      <c r="N48" s="25"/>
      <c r="O48" s="26" t="n">
        <f aca="true">IF(AND($B48&lt;&gt;"",$K48&lt;&gt;"Hoàn thành",$K48&lt;&gt;"Không áp dụng",$J48&lt;&gt;""),IF($J48&lt;TODAY(),1,0),0)</f>
        <v>0</v>
      </c>
      <c r="P48" s="26" t="n">
        <f aca="false">IF(AND($B48&lt;&gt;"",$C48&lt;&gt;"",N($C48)&gt;1),COUNTIFS(Task!$A$5:$A$404,$A48,Task!$C$5:$C$404,N($C48)-1,Task!$K$5:$K$404,"&lt;&gt;Hoàn thành",Task!$K$5:$K$404,"&lt;&gt;Không áp dụng"),0)</f>
        <v>0</v>
      </c>
    </row>
    <row r="49" customFormat="false" ht="15" hidden="false" customHeight="false" outlineLevel="0" collapsed="false">
      <c r="A49" s="19"/>
      <c r="B49" s="22"/>
      <c r="C49" s="14" t="str">
        <f aca="false">IF($B49="","",IFERROR(INDEX('Mẫu task'!$B$5:$B$64,MATCH($B49,'Mẫu task'!$A$5:$A$64,0)),""))</f>
        <v/>
      </c>
      <c r="D49" s="15" t="str">
        <f aca="false">IF($C49="","",IFERROR(INDEX('Quy trình'!$B$5:$B$12,MATCH($C49,'Quy trình'!$A$5:$A$12,0)),""))</f>
        <v/>
      </c>
      <c r="E49" s="23" t="str">
        <f aca="false">IF($B49="","",IFERROR(INDEX('Mẫu task'!$D$5:$D$64,MATCH($B49,'Mẫu task'!$A$5:$A$64,0)),""))</f>
        <v/>
      </c>
      <c r="F49" s="23" t="str">
        <f aca="false">IF($B49="","",IFERROR(INDEX('Mẫu task'!$E$5:$E$64,MATCH($B49,'Mẫu task'!$A$5:$A$64,0)),""))</f>
        <v/>
      </c>
      <c r="G49" s="19"/>
      <c r="H49" s="20"/>
      <c r="I49" s="14" t="str">
        <f aca="false">IF($B49="","",IFERROR(INDEX('Mẫu task'!$H$5:$H$64,MATCH($B49,'Mẫu task'!$A$5:$A$64,0)),""))</f>
        <v/>
      </c>
      <c r="J49" s="24" t="str">
        <f aca="false">IF(OR($H49="",$I49=""),"",$H49+$I49)</f>
        <v/>
      </c>
      <c r="K49" s="22"/>
      <c r="L49" s="20"/>
      <c r="M49" s="14" t="str">
        <f aca="true">IF($B49="","",IF($K49="Hoàn thành","Xong",IF($K49="Không áp dụng","—",IF($K49="Bị chặn","Bị chặn",IF($O49=1,"TRỄ "&amp;(TODAY()-$J49)&amp;" ngày",IF(AND($K49="Đang làm",$P49&gt;0),"Bước trước chưa xong",IF(AND($J49&lt;&gt;"",N($J49)-TODAY()&lt;=3),"Sắp đến hạn",IF($K49="Đang làm","Đang làm","Chưa bắt đầu"))))))))</f>
        <v/>
      </c>
      <c r="N49" s="25"/>
      <c r="O49" s="26" t="n">
        <f aca="true">IF(AND($B49&lt;&gt;"",$K49&lt;&gt;"Hoàn thành",$K49&lt;&gt;"Không áp dụng",$J49&lt;&gt;""),IF($J49&lt;TODAY(),1,0),0)</f>
        <v>0</v>
      </c>
      <c r="P49" s="26" t="n">
        <f aca="false">IF(AND($B49&lt;&gt;"",$C49&lt;&gt;"",N($C49)&gt;1),COUNTIFS(Task!$A$5:$A$404,$A49,Task!$C$5:$C$404,N($C49)-1,Task!$K$5:$K$404,"&lt;&gt;Hoàn thành",Task!$K$5:$K$404,"&lt;&gt;Không áp dụng"),0)</f>
        <v>0</v>
      </c>
    </row>
    <row r="50" customFormat="false" ht="15" hidden="false" customHeight="false" outlineLevel="0" collapsed="false">
      <c r="A50" s="19"/>
      <c r="B50" s="22"/>
      <c r="C50" s="14" t="str">
        <f aca="false">IF($B50="","",IFERROR(INDEX('Mẫu task'!$B$5:$B$64,MATCH($B50,'Mẫu task'!$A$5:$A$64,0)),""))</f>
        <v/>
      </c>
      <c r="D50" s="15" t="str">
        <f aca="false">IF($C50="","",IFERROR(INDEX('Quy trình'!$B$5:$B$12,MATCH($C50,'Quy trình'!$A$5:$A$12,0)),""))</f>
        <v/>
      </c>
      <c r="E50" s="23" t="str">
        <f aca="false">IF($B50="","",IFERROR(INDEX('Mẫu task'!$D$5:$D$64,MATCH($B50,'Mẫu task'!$A$5:$A$64,0)),""))</f>
        <v/>
      </c>
      <c r="F50" s="23" t="str">
        <f aca="false">IF($B50="","",IFERROR(INDEX('Mẫu task'!$E$5:$E$64,MATCH($B50,'Mẫu task'!$A$5:$A$64,0)),""))</f>
        <v/>
      </c>
      <c r="G50" s="19"/>
      <c r="H50" s="20"/>
      <c r="I50" s="14" t="str">
        <f aca="false">IF($B50="","",IFERROR(INDEX('Mẫu task'!$H$5:$H$64,MATCH($B50,'Mẫu task'!$A$5:$A$64,0)),""))</f>
        <v/>
      </c>
      <c r="J50" s="24" t="str">
        <f aca="false">IF(OR($H50="",$I50=""),"",$H50+$I50)</f>
        <v/>
      </c>
      <c r="K50" s="22"/>
      <c r="L50" s="20"/>
      <c r="M50" s="14" t="str">
        <f aca="true">IF($B50="","",IF($K50="Hoàn thành","Xong",IF($K50="Không áp dụng","—",IF($K50="Bị chặn","Bị chặn",IF($O50=1,"TRỄ "&amp;(TODAY()-$J50)&amp;" ngày",IF(AND($K50="Đang làm",$P50&gt;0),"Bước trước chưa xong",IF(AND($J50&lt;&gt;"",N($J50)-TODAY()&lt;=3),"Sắp đến hạn",IF($K50="Đang làm","Đang làm","Chưa bắt đầu"))))))))</f>
        <v/>
      </c>
      <c r="N50" s="25"/>
      <c r="O50" s="26" t="n">
        <f aca="true">IF(AND($B50&lt;&gt;"",$K50&lt;&gt;"Hoàn thành",$K50&lt;&gt;"Không áp dụng",$J50&lt;&gt;""),IF($J50&lt;TODAY(),1,0),0)</f>
        <v>0</v>
      </c>
      <c r="P50" s="26" t="n">
        <f aca="false">IF(AND($B50&lt;&gt;"",$C50&lt;&gt;"",N($C50)&gt;1),COUNTIFS(Task!$A$5:$A$404,$A50,Task!$C$5:$C$404,N($C50)-1,Task!$K$5:$K$404,"&lt;&gt;Hoàn thành",Task!$K$5:$K$404,"&lt;&gt;Không áp dụng"),0)</f>
        <v>0</v>
      </c>
    </row>
    <row r="51" customFormat="false" ht="15" hidden="false" customHeight="false" outlineLevel="0" collapsed="false">
      <c r="A51" s="19"/>
      <c r="B51" s="22"/>
      <c r="C51" s="14" t="str">
        <f aca="false">IF($B51="","",IFERROR(INDEX('Mẫu task'!$B$5:$B$64,MATCH($B51,'Mẫu task'!$A$5:$A$64,0)),""))</f>
        <v/>
      </c>
      <c r="D51" s="15" t="str">
        <f aca="false">IF($C51="","",IFERROR(INDEX('Quy trình'!$B$5:$B$12,MATCH($C51,'Quy trình'!$A$5:$A$12,0)),""))</f>
        <v/>
      </c>
      <c r="E51" s="23" t="str">
        <f aca="false">IF($B51="","",IFERROR(INDEX('Mẫu task'!$D$5:$D$64,MATCH($B51,'Mẫu task'!$A$5:$A$64,0)),""))</f>
        <v/>
      </c>
      <c r="F51" s="23" t="str">
        <f aca="false">IF($B51="","",IFERROR(INDEX('Mẫu task'!$E$5:$E$64,MATCH($B51,'Mẫu task'!$A$5:$A$64,0)),""))</f>
        <v/>
      </c>
      <c r="G51" s="19"/>
      <c r="H51" s="20"/>
      <c r="I51" s="14" t="str">
        <f aca="false">IF($B51="","",IFERROR(INDEX('Mẫu task'!$H$5:$H$64,MATCH($B51,'Mẫu task'!$A$5:$A$64,0)),""))</f>
        <v/>
      </c>
      <c r="J51" s="24" t="str">
        <f aca="false">IF(OR($H51="",$I51=""),"",$H51+$I51)</f>
        <v/>
      </c>
      <c r="K51" s="22"/>
      <c r="L51" s="20"/>
      <c r="M51" s="14" t="str">
        <f aca="true">IF($B51="","",IF($K51="Hoàn thành","Xong",IF($K51="Không áp dụng","—",IF($K51="Bị chặn","Bị chặn",IF($O51=1,"TRỄ "&amp;(TODAY()-$J51)&amp;" ngày",IF(AND($K51="Đang làm",$P51&gt;0),"Bước trước chưa xong",IF(AND($J51&lt;&gt;"",N($J51)-TODAY()&lt;=3),"Sắp đến hạn",IF($K51="Đang làm","Đang làm","Chưa bắt đầu"))))))))</f>
        <v/>
      </c>
      <c r="N51" s="25"/>
      <c r="O51" s="26" t="n">
        <f aca="true">IF(AND($B51&lt;&gt;"",$K51&lt;&gt;"Hoàn thành",$K51&lt;&gt;"Không áp dụng",$J51&lt;&gt;""),IF($J51&lt;TODAY(),1,0),0)</f>
        <v>0</v>
      </c>
      <c r="P51" s="26" t="n">
        <f aca="false">IF(AND($B51&lt;&gt;"",$C51&lt;&gt;"",N($C51)&gt;1),COUNTIFS(Task!$A$5:$A$404,$A51,Task!$C$5:$C$404,N($C51)-1,Task!$K$5:$K$404,"&lt;&gt;Hoàn thành",Task!$K$5:$K$404,"&lt;&gt;Không áp dụng"),0)</f>
        <v>0</v>
      </c>
    </row>
    <row r="52" customFormat="false" ht="15" hidden="false" customHeight="false" outlineLevel="0" collapsed="false">
      <c r="A52" s="19"/>
      <c r="B52" s="22"/>
      <c r="C52" s="14" t="str">
        <f aca="false">IF($B52="","",IFERROR(INDEX('Mẫu task'!$B$5:$B$64,MATCH($B52,'Mẫu task'!$A$5:$A$64,0)),""))</f>
        <v/>
      </c>
      <c r="D52" s="15" t="str">
        <f aca="false">IF($C52="","",IFERROR(INDEX('Quy trình'!$B$5:$B$12,MATCH($C52,'Quy trình'!$A$5:$A$12,0)),""))</f>
        <v/>
      </c>
      <c r="E52" s="23" t="str">
        <f aca="false">IF($B52="","",IFERROR(INDEX('Mẫu task'!$D$5:$D$64,MATCH($B52,'Mẫu task'!$A$5:$A$64,0)),""))</f>
        <v/>
      </c>
      <c r="F52" s="23" t="str">
        <f aca="false">IF($B52="","",IFERROR(INDEX('Mẫu task'!$E$5:$E$64,MATCH($B52,'Mẫu task'!$A$5:$A$64,0)),""))</f>
        <v/>
      </c>
      <c r="G52" s="19"/>
      <c r="H52" s="20"/>
      <c r="I52" s="14" t="str">
        <f aca="false">IF($B52="","",IFERROR(INDEX('Mẫu task'!$H$5:$H$64,MATCH($B52,'Mẫu task'!$A$5:$A$64,0)),""))</f>
        <v/>
      </c>
      <c r="J52" s="24" t="str">
        <f aca="false">IF(OR($H52="",$I52=""),"",$H52+$I52)</f>
        <v/>
      </c>
      <c r="K52" s="22"/>
      <c r="L52" s="20"/>
      <c r="M52" s="14" t="str">
        <f aca="true">IF($B52="","",IF($K52="Hoàn thành","Xong",IF($K52="Không áp dụng","—",IF($K52="Bị chặn","Bị chặn",IF($O52=1,"TRỄ "&amp;(TODAY()-$J52)&amp;" ngày",IF(AND($K52="Đang làm",$P52&gt;0),"Bước trước chưa xong",IF(AND($J52&lt;&gt;"",N($J52)-TODAY()&lt;=3),"Sắp đến hạn",IF($K52="Đang làm","Đang làm","Chưa bắt đầu"))))))))</f>
        <v/>
      </c>
      <c r="N52" s="25"/>
      <c r="O52" s="26" t="n">
        <f aca="true">IF(AND($B52&lt;&gt;"",$K52&lt;&gt;"Hoàn thành",$K52&lt;&gt;"Không áp dụng",$J52&lt;&gt;""),IF($J52&lt;TODAY(),1,0),0)</f>
        <v>0</v>
      </c>
      <c r="P52" s="26" t="n">
        <f aca="false">IF(AND($B52&lt;&gt;"",$C52&lt;&gt;"",N($C52)&gt;1),COUNTIFS(Task!$A$5:$A$404,$A52,Task!$C$5:$C$404,N($C52)-1,Task!$K$5:$K$404,"&lt;&gt;Hoàn thành",Task!$K$5:$K$404,"&lt;&gt;Không áp dụng"),0)</f>
        <v>0</v>
      </c>
    </row>
    <row r="53" customFormat="false" ht="15" hidden="false" customHeight="false" outlineLevel="0" collapsed="false">
      <c r="A53" s="19"/>
      <c r="B53" s="22"/>
      <c r="C53" s="14" t="str">
        <f aca="false">IF($B53="","",IFERROR(INDEX('Mẫu task'!$B$5:$B$64,MATCH($B53,'Mẫu task'!$A$5:$A$64,0)),""))</f>
        <v/>
      </c>
      <c r="D53" s="15" t="str">
        <f aca="false">IF($C53="","",IFERROR(INDEX('Quy trình'!$B$5:$B$12,MATCH($C53,'Quy trình'!$A$5:$A$12,0)),""))</f>
        <v/>
      </c>
      <c r="E53" s="23" t="str">
        <f aca="false">IF($B53="","",IFERROR(INDEX('Mẫu task'!$D$5:$D$64,MATCH($B53,'Mẫu task'!$A$5:$A$64,0)),""))</f>
        <v/>
      </c>
      <c r="F53" s="23" t="str">
        <f aca="false">IF($B53="","",IFERROR(INDEX('Mẫu task'!$E$5:$E$64,MATCH($B53,'Mẫu task'!$A$5:$A$64,0)),""))</f>
        <v/>
      </c>
      <c r="G53" s="19"/>
      <c r="H53" s="20"/>
      <c r="I53" s="14" t="str">
        <f aca="false">IF($B53="","",IFERROR(INDEX('Mẫu task'!$H$5:$H$64,MATCH($B53,'Mẫu task'!$A$5:$A$64,0)),""))</f>
        <v/>
      </c>
      <c r="J53" s="24" t="str">
        <f aca="false">IF(OR($H53="",$I53=""),"",$H53+$I53)</f>
        <v/>
      </c>
      <c r="K53" s="22"/>
      <c r="L53" s="20"/>
      <c r="M53" s="14" t="str">
        <f aca="true">IF($B53="","",IF($K53="Hoàn thành","Xong",IF($K53="Không áp dụng","—",IF($K53="Bị chặn","Bị chặn",IF($O53=1,"TRỄ "&amp;(TODAY()-$J53)&amp;" ngày",IF(AND($K53="Đang làm",$P53&gt;0),"Bước trước chưa xong",IF(AND($J53&lt;&gt;"",N($J53)-TODAY()&lt;=3),"Sắp đến hạn",IF($K53="Đang làm","Đang làm","Chưa bắt đầu"))))))))</f>
        <v/>
      </c>
      <c r="N53" s="25"/>
      <c r="O53" s="26" t="n">
        <f aca="true">IF(AND($B53&lt;&gt;"",$K53&lt;&gt;"Hoàn thành",$K53&lt;&gt;"Không áp dụng",$J53&lt;&gt;""),IF($J53&lt;TODAY(),1,0),0)</f>
        <v>0</v>
      </c>
      <c r="P53" s="26" t="n">
        <f aca="false">IF(AND($B53&lt;&gt;"",$C53&lt;&gt;"",N($C53)&gt;1),COUNTIFS(Task!$A$5:$A$404,$A53,Task!$C$5:$C$404,N($C53)-1,Task!$K$5:$K$404,"&lt;&gt;Hoàn thành",Task!$K$5:$K$404,"&lt;&gt;Không áp dụng"),0)</f>
        <v>0</v>
      </c>
    </row>
    <row r="54" customFormat="false" ht="15" hidden="false" customHeight="false" outlineLevel="0" collapsed="false">
      <c r="A54" s="19"/>
      <c r="B54" s="22"/>
      <c r="C54" s="14" t="str">
        <f aca="false">IF($B54="","",IFERROR(INDEX('Mẫu task'!$B$5:$B$64,MATCH($B54,'Mẫu task'!$A$5:$A$64,0)),""))</f>
        <v/>
      </c>
      <c r="D54" s="15" t="str">
        <f aca="false">IF($C54="","",IFERROR(INDEX('Quy trình'!$B$5:$B$12,MATCH($C54,'Quy trình'!$A$5:$A$12,0)),""))</f>
        <v/>
      </c>
      <c r="E54" s="23" t="str">
        <f aca="false">IF($B54="","",IFERROR(INDEX('Mẫu task'!$D$5:$D$64,MATCH($B54,'Mẫu task'!$A$5:$A$64,0)),""))</f>
        <v/>
      </c>
      <c r="F54" s="23" t="str">
        <f aca="false">IF($B54="","",IFERROR(INDEX('Mẫu task'!$E$5:$E$64,MATCH($B54,'Mẫu task'!$A$5:$A$64,0)),""))</f>
        <v/>
      </c>
      <c r="G54" s="19"/>
      <c r="H54" s="20"/>
      <c r="I54" s="14" t="str">
        <f aca="false">IF($B54="","",IFERROR(INDEX('Mẫu task'!$H$5:$H$64,MATCH($B54,'Mẫu task'!$A$5:$A$64,0)),""))</f>
        <v/>
      </c>
      <c r="J54" s="24" t="str">
        <f aca="false">IF(OR($H54="",$I54=""),"",$H54+$I54)</f>
        <v/>
      </c>
      <c r="K54" s="22"/>
      <c r="L54" s="20"/>
      <c r="M54" s="14" t="str">
        <f aca="true">IF($B54="","",IF($K54="Hoàn thành","Xong",IF($K54="Không áp dụng","—",IF($K54="Bị chặn","Bị chặn",IF($O54=1,"TRỄ "&amp;(TODAY()-$J54)&amp;" ngày",IF(AND($K54="Đang làm",$P54&gt;0),"Bước trước chưa xong",IF(AND($J54&lt;&gt;"",N($J54)-TODAY()&lt;=3),"Sắp đến hạn",IF($K54="Đang làm","Đang làm","Chưa bắt đầu"))))))))</f>
        <v/>
      </c>
      <c r="N54" s="25"/>
      <c r="O54" s="26" t="n">
        <f aca="true">IF(AND($B54&lt;&gt;"",$K54&lt;&gt;"Hoàn thành",$K54&lt;&gt;"Không áp dụng",$J54&lt;&gt;""),IF($J54&lt;TODAY(),1,0),0)</f>
        <v>0</v>
      </c>
      <c r="P54" s="26" t="n">
        <f aca="false">IF(AND($B54&lt;&gt;"",$C54&lt;&gt;"",N($C54)&gt;1),COUNTIFS(Task!$A$5:$A$404,$A54,Task!$C$5:$C$404,N($C54)-1,Task!$K$5:$K$404,"&lt;&gt;Hoàn thành",Task!$K$5:$K$404,"&lt;&gt;Không áp dụng"),0)</f>
        <v>0</v>
      </c>
    </row>
    <row r="55" customFormat="false" ht="15" hidden="false" customHeight="false" outlineLevel="0" collapsed="false">
      <c r="A55" s="19"/>
      <c r="B55" s="22"/>
      <c r="C55" s="14" t="str">
        <f aca="false">IF($B55="","",IFERROR(INDEX('Mẫu task'!$B$5:$B$64,MATCH($B55,'Mẫu task'!$A$5:$A$64,0)),""))</f>
        <v/>
      </c>
      <c r="D55" s="15" t="str">
        <f aca="false">IF($C55="","",IFERROR(INDEX('Quy trình'!$B$5:$B$12,MATCH($C55,'Quy trình'!$A$5:$A$12,0)),""))</f>
        <v/>
      </c>
      <c r="E55" s="23" t="str">
        <f aca="false">IF($B55="","",IFERROR(INDEX('Mẫu task'!$D$5:$D$64,MATCH($B55,'Mẫu task'!$A$5:$A$64,0)),""))</f>
        <v/>
      </c>
      <c r="F55" s="23" t="str">
        <f aca="false">IF($B55="","",IFERROR(INDEX('Mẫu task'!$E$5:$E$64,MATCH($B55,'Mẫu task'!$A$5:$A$64,0)),""))</f>
        <v/>
      </c>
      <c r="G55" s="19"/>
      <c r="H55" s="20"/>
      <c r="I55" s="14" t="str">
        <f aca="false">IF($B55="","",IFERROR(INDEX('Mẫu task'!$H$5:$H$64,MATCH($B55,'Mẫu task'!$A$5:$A$64,0)),""))</f>
        <v/>
      </c>
      <c r="J55" s="24" t="str">
        <f aca="false">IF(OR($H55="",$I55=""),"",$H55+$I55)</f>
        <v/>
      </c>
      <c r="K55" s="22"/>
      <c r="L55" s="20"/>
      <c r="M55" s="14" t="str">
        <f aca="true">IF($B55="","",IF($K55="Hoàn thành","Xong",IF($K55="Không áp dụng","—",IF($K55="Bị chặn","Bị chặn",IF($O55=1,"TRỄ "&amp;(TODAY()-$J55)&amp;" ngày",IF(AND($K55="Đang làm",$P55&gt;0),"Bước trước chưa xong",IF(AND($J55&lt;&gt;"",N($J55)-TODAY()&lt;=3),"Sắp đến hạn",IF($K55="Đang làm","Đang làm","Chưa bắt đầu"))))))))</f>
        <v/>
      </c>
      <c r="N55" s="25"/>
      <c r="O55" s="26" t="n">
        <f aca="true">IF(AND($B55&lt;&gt;"",$K55&lt;&gt;"Hoàn thành",$K55&lt;&gt;"Không áp dụng",$J55&lt;&gt;""),IF($J55&lt;TODAY(),1,0),0)</f>
        <v>0</v>
      </c>
      <c r="P55" s="26" t="n">
        <f aca="false">IF(AND($B55&lt;&gt;"",$C55&lt;&gt;"",N($C55)&gt;1),COUNTIFS(Task!$A$5:$A$404,$A55,Task!$C$5:$C$404,N($C55)-1,Task!$K$5:$K$404,"&lt;&gt;Hoàn thành",Task!$K$5:$K$404,"&lt;&gt;Không áp dụng"),0)</f>
        <v>0</v>
      </c>
    </row>
    <row r="56" customFormat="false" ht="15" hidden="false" customHeight="false" outlineLevel="0" collapsed="false">
      <c r="A56" s="19"/>
      <c r="B56" s="22"/>
      <c r="C56" s="14" t="str">
        <f aca="false">IF($B56="","",IFERROR(INDEX('Mẫu task'!$B$5:$B$64,MATCH($B56,'Mẫu task'!$A$5:$A$64,0)),""))</f>
        <v/>
      </c>
      <c r="D56" s="15" t="str">
        <f aca="false">IF($C56="","",IFERROR(INDEX('Quy trình'!$B$5:$B$12,MATCH($C56,'Quy trình'!$A$5:$A$12,0)),""))</f>
        <v/>
      </c>
      <c r="E56" s="23" t="str">
        <f aca="false">IF($B56="","",IFERROR(INDEX('Mẫu task'!$D$5:$D$64,MATCH($B56,'Mẫu task'!$A$5:$A$64,0)),""))</f>
        <v/>
      </c>
      <c r="F56" s="23" t="str">
        <f aca="false">IF($B56="","",IFERROR(INDEX('Mẫu task'!$E$5:$E$64,MATCH($B56,'Mẫu task'!$A$5:$A$64,0)),""))</f>
        <v/>
      </c>
      <c r="G56" s="19"/>
      <c r="H56" s="20"/>
      <c r="I56" s="14" t="str">
        <f aca="false">IF($B56="","",IFERROR(INDEX('Mẫu task'!$H$5:$H$64,MATCH($B56,'Mẫu task'!$A$5:$A$64,0)),""))</f>
        <v/>
      </c>
      <c r="J56" s="24" t="str">
        <f aca="false">IF(OR($H56="",$I56=""),"",$H56+$I56)</f>
        <v/>
      </c>
      <c r="K56" s="22"/>
      <c r="L56" s="20"/>
      <c r="M56" s="14" t="str">
        <f aca="true">IF($B56="","",IF($K56="Hoàn thành","Xong",IF($K56="Không áp dụng","—",IF($K56="Bị chặn","Bị chặn",IF($O56=1,"TRỄ "&amp;(TODAY()-$J56)&amp;" ngày",IF(AND($K56="Đang làm",$P56&gt;0),"Bước trước chưa xong",IF(AND($J56&lt;&gt;"",N($J56)-TODAY()&lt;=3),"Sắp đến hạn",IF($K56="Đang làm","Đang làm","Chưa bắt đầu"))))))))</f>
        <v/>
      </c>
      <c r="N56" s="25"/>
      <c r="O56" s="26" t="n">
        <f aca="true">IF(AND($B56&lt;&gt;"",$K56&lt;&gt;"Hoàn thành",$K56&lt;&gt;"Không áp dụng",$J56&lt;&gt;""),IF($J56&lt;TODAY(),1,0),0)</f>
        <v>0</v>
      </c>
      <c r="P56" s="26" t="n">
        <f aca="false">IF(AND($B56&lt;&gt;"",$C56&lt;&gt;"",N($C56)&gt;1),COUNTIFS(Task!$A$5:$A$404,$A56,Task!$C$5:$C$404,N($C56)-1,Task!$K$5:$K$404,"&lt;&gt;Hoàn thành",Task!$K$5:$K$404,"&lt;&gt;Không áp dụng"),0)</f>
        <v>0</v>
      </c>
    </row>
    <row r="57" customFormat="false" ht="15" hidden="false" customHeight="false" outlineLevel="0" collapsed="false">
      <c r="A57" s="19"/>
      <c r="B57" s="22"/>
      <c r="C57" s="14" t="str">
        <f aca="false">IF($B57="","",IFERROR(INDEX('Mẫu task'!$B$5:$B$64,MATCH($B57,'Mẫu task'!$A$5:$A$64,0)),""))</f>
        <v/>
      </c>
      <c r="D57" s="15" t="str">
        <f aca="false">IF($C57="","",IFERROR(INDEX('Quy trình'!$B$5:$B$12,MATCH($C57,'Quy trình'!$A$5:$A$12,0)),""))</f>
        <v/>
      </c>
      <c r="E57" s="23" t="str">
        <f aca="false">IF($B57="","",IFERROR(INDEX('Mẫu task'!$D$5:$D$64,MATCH($B57,'Mẫu task'!$A$5:$A$64,0)),""))</f>
        <v/>
      </c>
      <c r="F57" s="23" t="str">
        <f aca="false">IF($B57="","",IFERROR(INDEX('Mẫu task'!$E$5:$E$64,MATCH($B57,'Mẫu task'!$A$5:$A$64,0)),""))</f>
        <v/>
      </c>
      <c r="G57" s="19"/>
      <c r="H57" s="20"/>
      <c r="I57" s="14" t="str">
        <f aca="false">IF($B57="","",IFERROR(INDEX('Mẫu task'!$H$5:$H$64,MATCH($B57,'Mẫu task'!$A$5:$A$64,0)),""))</f>
        <v/>
      </c>
      <c r="J57" s="24" t="str">
        <f aca="false">IF(OR($H57="",$I57=""),"",$H57+$I57)</f>
        <v/>
      </c>
      <c r="K57" s="22"/>
      <c r="L57" s="20"/>
      <c r="M57" s="14" t="str">
        <f aca="true">IF($B57="","",IF($K57="Hoàn thành","Xong",IF($K57="Không áp dụng","—",IF($K57="Bị chặn","Bị chặn",IF($O57=1,"TRỄ "&amp;(TODAY()-$J57)&amp;" ngày",IF(AND($K57="Đang làm",$P57&gt;0),"Bước trước chưa xong",IF(AND($J57&lt;&gt;"",N($J57)-TODAY()&lt;=3),"Sắp đến hạn",IF($K57="Đang làm","Đang làm","Chưa bắt đầu"))))))))</f>
        <v/>
      </c>
      <c r="N57" s="25"/>
      <c r="O57" s="26" t="n">
        <f aca="true">IF(AND($B57&lt;&gt;"",$K57&lt;&gt;"Hoàn thành",$K57&lt;&gt;"Không áp dụng",$J57&lt;&gt;""),IF($J57&lt;TODAY(),1,0),0)</f>
        <v>0</v>
      </c>
      <c r="P57" s="26" t="n">
        <f aca="false">IF(AND($B57&lt;&gt;"",$C57&lt;&gt;"",N($C57)&gt;1),COUNTIFS(Task!$A$5:$A$404,$A57,Task!$C$5:$C$404,N($C57)-1,Task!$K$5:$K$404,"&lt;&gt;Hoàn thành",Task!$K$5:$K$404,"&lt;&gt;Không áp dụng"),0)</f>
        <v>0</v>
      </c>
    </row>
    <row r="58" customFormat="false" ht="15" hidden="false" customHeight="false" outlineLevel="0" collapsed="false">
      <c r="A58" s="19"/>
      <c r="B58" s="22"/>
      <c r="C58" s="14" t="str">
        <f aca="false">IF($B58="","",IFERROR(INDEX('Mẫu task'!$B$5:$B$64,MATCH($B58,'Mẫu task'!$A$5:$A$64,0)),""))</f>
        <v/>
      </c>
      <c r="D58" s="15" t="str">
        <f aca="false">IF($C58="","",IFERROR(INDEX('Quy trình'!$B$5:$B$12,MATCH($C58,'Quy trình'!$A$5:$A$12,0)),""))</f>
        <v/>
      </c>
      <c r="E58" s="23" t="str">
        <f aca="false">IF($B58="","",IFERROR(INDEX('Mẫu task'!$D$5:$D$64,MATCH($B58,'Mẫu task'!$A$5:$A$64,0)),""))</f>
        <v/>
      </c>
      <c r="F58" s="23" t="str">
        <f aca="false">IF($B58="","",IFERROR(INDEX('Mẫu task'!$E$5:$E$64,MATCH($B58,'Mẫu task'!$A$5:$A$64,0)),""))</f>
        <v/>
      </c>
      <c r="G58" s="19"/>
      <c r="H58" s="20"/>
      <c r="I58" s="14" t="str">
        <f aca="false">IF($B58="","",IFERROR(INDEX('Mẫu task'!$H$5:$H$64,MATCH($B58,'Mẫu task'!$A$5:$A$64,0)),""))</f>
        <v/>
      </c>
      <c r="J58" s="24" t="str">
        <f aca="false">IF(OR($H58="",$I58=""),"",$H58+$I58)</f>
        <v/>
      </c>
      <c r="K58" s="22"/>
      <c r="L58" s="20"/>
      <c r="M58" s="14" t="str">
        <f aca="true">IF($B58="","",IF($K58="Hoàn thành","Xong",IF($K58="Không áp dụng","—",IF($K58="Bị chặn","Bị chặn",IF($O58=1,"TRỄ "&amp;(TODAY()-$J58)&amp;" ngày",IF(AND($K58="Đang làm",$P58&gt;0),"Bước trước chưa xong",IF(AND($J58&lt;&gt;"",N($J58)-TODAY()&lt;=3),"Sắp đến hạn",IF($K58="Đang làm","Đang làm","Chưa bắt đầu"))))))))</f>
        <v/>
      </c>
      <c r="N58" s="25"/>
      <c r="O58" s="26" t="n">
        <f aca="true">IF(AND($B58&lt;&gt;"",$K58&lt;&gt;"Hoàn thành",$K58&lt;&gt;"Không áp dụng",$J58&lt;&gt;""),IF($J58&lt;TODAY(),1,0),0)</f>
        <v>0</v>
      </c>
      <c r="P58" s="26" t="n">
        <f aca="false">IF(AND($B58&lt;&gt;"",$C58&lt;&gt;"",N($C58)&gt;1),COUNTIFS(Task!$A$5:$A$404,$A58,Task!$C$5:$C$404,N($C58)-1,Task!$K$5:$K$404,"&lt;&gt;Hoàn thành",Task!$K$5:$K$404,"&lt;&gt;Không áp dụng"),0)</f>
        <v>0</v>
      </c>
    </row>
    <row r="59" customFormat="false" ht="15" hidden="false" customHeight="false" outlineLevel="0" collapsed="false">
      <c r="A59" s="19"/>
      <c r="B59" s="22"/>
      <c r="C59" s="14" t="str">
        <f aca="false">IF($B59="","",IFERROR(INDEX('Mẫu task'!$B$5:$B$64,MATCH($B59,'Mẫu task'!$A$5:$A$64,0)),""))</f>
        <v/>
      </c>
      <c r="D59" s="15" t="str">
        <f aca="false">IF($C59="","",IFERROR(INDEX('Quy trình'!$B$5:$B$12,MATCH($C59,'Quy trình'!$A$5:$A$12,0)),""))</f>
        <v/>
      </c>
      <c r="E59" s="23" t="str">
        <f aca="false">IF($B59="","",IFERROR(INDEX('Mẫu task'!$D$5:$D$64,MATCH($B59,'Mẫu task'!$A$5:$A$64,0)),""))</f>
        <v/>
      </c>
      <c r="F59" s="23" t="str">
        <f aca="false">IF($B59="","",IFERROR(INDEX('Mẫu task'!$E$5:$E$64,MATCH($B59,'Mẫu task'!$A$5:$A$64,0)),""))</f>
        <v/>
      </c>
      <c r="G59" s="19"/>
      <c r="H59" s="20"/>
      <c r="I59" s="14" t="str">
        <f aca="false">IF($B59="","",IFERROR(INDEX('Mẫu task'!$H$5:$H$64,MATCH($B59,'Mẫu task'!$A$5:$A$64,0)),""))</f>
        <v/>
      </c>
      <c r="J59" s="24" t="str">
        <f aca="false">IF(OR($H59="",$I59=""),"",$H59+$I59)</f>
        <v/>
      </c>
      <c r="K59" s="22"/>
      <c r="L59" s="20"/>
      <c r="M59" s="14" t="str">
        <f aca="true">IF($B59="","",IF($K59="Hoàn thành","Xong",IF($K59="Không áp dụng","—",IF($K59="Bị chặn","Bị chặn",IF($O59=1,"TRỄ "&amp;(TODAY()-$J59)&amp;" ngày",IF(AND($K59="Đang làm",$P59&gt;0),"Bước trước chưa xong",IF(AND($J59&lt;&gt;"",N($J59)-TODAY()&lt;=3),"Sắp đến hạn",IF($K59="Đang làm","Đang làm","Chưa bắt đầu"))))))))</f>
        <v/>
      </c>
      <c r="N59" s="25"/>
      <c r="O59" s="26" t="n">
        <f aca="true">IF(AND($B59&lt;&gt;"",$K59&lt;&gt;"Hoàn thành",$K59&lt;&gt;"Không áp dụng",$J59&lt;&gt;""),IF($J59&lt;TODAY(),1,0),0)</f>
        <v>0</v>
      </c>
      <c r="P59" s="26" t="n">
        <f aca="false">IF(AND($B59&lt;&gt;"",$C59&lt;&gt;"",N($C59)&gt;1),COUNTIFS(Task!$A$5:$A$404,$A59,Task!$C$5:$C$404,N($C59)-1,Task!$K$5:$K$404,"&lt;&gt;Hoàn thành",Task!$K$5:$K$404,"&lt;&gt;Không áp dụng"),0)</f>
        <v>0</v>
      </c>
    </row>
    <row r="60" customFormat="false" ht="15" hidden="false" customHeight="false" outlineLevel="0" collapsed="false">
      <c r="A60" s="19"/>
      <c r="B60" s="22"/>
      <c r="C60" s="14" t="str">
        <f aca="false">IF($B60="","",IFERROR(INDEX('Mẫu task'!$B$5:$B$64,MATCH($B60,'Mẫu task'!$A$5:$A$64,0)),""))</f>
        <v/>
      </c>
      <c r="D60" s="15" t="str">
        <f aca="false">IF($C60="","",IFERROR(INDEX('Quy trình'!$B$5:$B$12,MATCH($C60,'Quy trình'!$A$5:$A$12,0)),""))</f>
        <v/>
      </c>
      <c r="E60" s="23" t="str">
        <f aca="false">IF($B60="","",IFERROR(INDEX('Mẫu task'!$D$5:$D$64,MATCH($B60,'Mẫu task'!$A$5:$A$64,0)),""))</f>
        <v/>
      </c>
      <c r="F60" s="23" t="str">
        <f aca="false">IF($B60="","",IFERROR(INDEX('Mẫu task'!$E$5:$E$64,MATCH($B60,'Mẫu task'!$A$5:$A$64,0)),""))</f>
        <v/>
      </c>
      <c r="G60" s="19"/>
      <c r="H60" s="20"/>
      <c r="I60" s="14" t="str">
        <f aca="false">IF($B60="","",IFERROR(INDEX('Mẫu task'!$H$5:$H$64,MATCH($B60,'Mẫu task'!$A$5:$A$64,0)),""))</f>
        <v/>
      </c>
      <c r="J60" s="24" t="str">
        <f aca="false">IF(OR($H60="",$I60=""),"",$H60+$I60)</f>
        <v/>
      </c>
      <c r="K60" s="22"/>
      <c r="L60" s="20"/>
      <c r="M60" s="14" t="str">
        <f aca="true">IF($B60="","",IF($K60="Hoàn thành","Xong",IF($K60="Không áp dụng","—",IF($K60="Bị chặn","Bị chặn",IF($O60=1,"TRỄ "&amp;(TODAY()-$J60)&amp;" ngày",IF(AND($K60="Đang làm",$P60&gt;0),"Bước trước chưa xong",IF(AND($J60&lt;&gt;"",N($J60)-TODAY()&lt;=3),"Sắp đến hạn",IF($K60="Đang làm","Đang làm","Chưa bắt đầu"))))))))</f>
        <v/>
      </c>
      <c r="N60" s="25"/>
      <c r="O60" s="26" t="n">
        <f aca="true">IF(AND($B60&lt;&gt;"",$K60&lt;&gt;"Hoàn thành",$K60&lt;&gt;"Không áp dụng",$J60&lt;&gt;""),IF($J60&lt;TODAY(),1,0),0)</f>
        <v>0</v>
      </c>
      <c r="P60" s="26" t="n">
        <f aca="false">IF(AND($B60&lt;&gt;"",$C60&lt;&gt;"",N($C60)&gt;1),COUNTIFS(Task!$A$5:$A$404,$A60,Task!$C$5:$C$404,N($C60)-1,Task!$K$5:$K$404,"&lt;&gt;Hoàn thành",Task!$K$5:$K$404,"&lt;&gt;Không áp dụng"),0)</f>
        <v>0</v>
      </c>
    </row>
    <row r="61" customFormat="false" ht="15" hidden="false" customHeight="false" outlineLevel="0" collapsed="false">
      <c r="A61" s="19"/>
      <c r="B61" s="22"/>
      <c r="C61" s="14" t="str">
        <f aca="false">IF($B61="","",IFERROR(INDEX('Mẫu task'!$B$5:$B$64,MATCH($B61,'Mẫu task'!$A$5:$A$64,0)),""))</f>
        <v/>
      </c>
      <c r="D61" s="15" t="str">
        <f aca="false">IF($C61="","",IFERROR(INDEX('Quy trình'!$B$5:$B$12,MATCH($C61,'Quy trình'!$A$5:$A$12,0)),""))</f>
        <v/>
      </c>
      <c r="E61" s="23" t="str">
        <f aca="false">IF($B61="","",IFERROR(INDEX('Mẫu task'!$D$5:$D$64,MATCH($B61,'Mẫu task'!$A$5:$A$64,0)),""))</f>
        <v/>
      </c>
      <c r="F61" s="23" t="str">
        <f aca="false">IF($B61="","",IFERROR(INDEX('Mẫu task'!$E$5:$E$64,MATCH($B61,'Mẫu task'!$A$5:$A$64,0)),""))</f>
        <v/>
      </c>
      <c r="G61" s="19"/>
      <c r="H61" s="20"/>
      <c r="I61" s="14" t="str">
        <f aca="false">IF($B61="","",IFERROR(INDEX('Mẫu task'!$H$5:$H$64,MATCH($B61,'Mẫu task'!$A$5:$A$64,0)),""))</f>
        <v/>
      </c>
      <c r="J61" s="24" t="str">
        <f aca="false">IF(OR($H61="",$I61=""),"",$H61+$I61)</f>
        <v/>
      </c>
      <c r="K61" s="22"/>
      <c r="L61" s="20"/>
      <c r="M61" s="14" t="str">
        <f aca="true">IF($B61="","",IF($K61="Hoàn thành","Xong",IF($K61="Không áp dụng","—",IF($K61="Bị chặn","Bị chặn",IF($O61=1,"TRỄ "&amp;(TODAY()-$J61)&amp;" ngày",IF(AND($K61="Đang làm",$P61&gt;0),"Bước trước chưa xong",IF(AND($J61&lt;&gt;"",N($J61)-TODAY()&lt;=3),"Sắp đến hạn",IF($K61="Đang làm","Đang làm","Chưa bắt đầu"))))))))</f>
        <v/>
      </c>
      <c r="N61" s="25"/>
      <c r="O61" s="26" t="n">
        <f aca="true">IF(AND($B61&lt;&gt;"",$K61&lt;&gt;"Hoàn thành",$K61&lt;&gt;"Không áp dụng",$J61&lt;&gt;""),IF($J61&lt;TODAY(),1,0),0)</f>
        <v>0</v>
      </c>
      <c r="P61" s="26" t="n">
        <f aca="false">IF(AND($B61&lt;&gt;"",$C61&lt;&gt;"",N($C61)&gt;1),COUNTIFS(Task!$A$5:$A$404,$A61,Task!$C$5:$C$404,N($C61)-1,Task!$K$5:$K$404,"&lt;&gt;Hoàn thành",Task!$K$5:$K$404,"&lt;&gt;Không áp dụng"),0)</f>
        <v>0</v>
      </c>
    </row>
    <row r="62" customFormat="false" ht="15" hidden="false" customHeight="false" outlineLevel="0" collapsed="false">
      <c r="A62" s="19"/>
      <c r="B62" s="22"/>
      <c r="C62" s="14" t="str">
        <f aca="false">IF($B62="","",IFERROR(INDEX('Mẫu task'!$B$5:$B$64,MATCH($B62,'Mẫu task'!$A$5:$A$64,0)),""))</f>
        <v/>
      </c>
      <c r="D62" s="15" t="str">
        <f aca="false">IF($C62="","",IFERROR(INDEX('Quy trình'!$B$5:$B$12,MATCH($C62,'Quy trình'!$A$5:$A$12,0)),""))</f>
        <v/>
      </c>
      <c r="E62" s="23" t="str">
        <f aca="false">IF($B62="","",IFERROR(INDEX('Mẫu task'!$D$5:$D$64,MATCH($B62,'Mẫu task'!$A$5:$A$64,0)),""))</f>
        <v/>
      </c>
      <c r="F62" s="23" t="str">
        <f aca="false">IF($B62="","",IFERROR(INDEX('Mẫu task'!$E$5:$E$64,MATCH($B62,'Mẫu task'!$A$5:$A$64,0)),""))</f>
        <v/>
      </c>
      <c r="G62" s="19"/>
      <c r="H62" s="20"/>
      <c r="I62" s="14" t="str">
        <f aca="false">IF($B62="","",IFERROR(INDEX('Mẫu task'!$H$5:$H$64,MATCH($B62,'Mẫu task'!$A$5:$A$64,0)),""))</f>
        <v/>
      </c>
      <c r="J62" s="24" t="str">
        <f aca="false">IF(OR($H62="",$I62=""),"",$H62+$I62)</f>
        <v/>
      </c>
      <c r="K62" s="22"/>
      <c r="L62" s="20"/>
      <c r="M62" s="14" t="str">
        <f aca="true">IF($B62="","",IF($K62="Hoàn thành","Xong",IF($K62="Không áp dụng","—",IF($K62="Bị chặn","Bị chặn",IF($O62=1,"TRỄ "&amp;(TODAY()-$J62)&amp;" ngày",IF(AND($K62="Đang làm",$P62&gt;0),"Bước trước chưa xong",IF(AND($J62&lt;&gt;"",N($J62)-TODAY()&lt;=3),"Sắp đến hạn",IF($K62="Đang làm","Đang làm","Chưa bắt đầu"))))))))</f>
        <v/>
      </c>
      <c r="N62" s="25"/>
      <c r="O62" s="26" t="n">
        <f aca="true">IF(AND($B62&lt;&gt;"",$K62&lt;&gt;"Hoàn thành",$K62&lt;&gt;"Không áp dụng",$J62&lt;&gt;""),IF($J62&lt;TODAY(),1,0),0)</f>
        <v>0</v>
      </c>
      <c r="P62" s="26" t="n">
        <f aca="false">IF(AND($B62&lt;&gt;"",$C62&lt;&gt;"",N($C62)&gt;1),COUNTIFS(Task!$A$5:$A$404,$A62,Task!$C$5:$C$404,N($C62)-1,Task!$K$5:$K$404,"&lt;&gt;Hoàn thành",Task!$K$5:$K$404,"&lt;&gt;Không áp dụng"),0)</f>
        <v>0</v>
      </c>
    </row>
    <row r="63" customFormat="false" ht="15" hidden="false" customHeight="false" outlineLevel="0" collapsed="false">
      <c r="A63" s="19"/>
      <c r="B63" s="22"/>
      <c r="C63" s="14" t="str">
        <f aca="false">IF($B63="","",IFERROR(INDEX('Mẫu task'!$B$5:$B$64,MATCH($B63,'Mẫu task'!$A$5:$A$64,0)),""))</f>
        <v/>
      </c>
      <c r="D63" s="15" t="str">
        <f aca="false">IF($C63="","",IFERROR(INDEX('Quy trình'!$B$5:$B$12,MATCH($C63,'Quy trình'!$A$5:$A$12,0)),""))</f>
        <v/>
      </c>
      <c r="E63" s="23" t="str">
        <f aca="false">IF($B63="","",IFERROR(INDEX('Mẫu task'!$D$5:$D$64,MATCH($B63,'Mẫu task'!$A$5:$A$64,0)),""))</f>
        <v/>
      </c>
      <c r="F63" s="23" t="str">
        <f aca="false">IF($B63="","",IFERROR(INDEX('Mẫu task'!$E$5:$E$64,MATCH($B63,'Mẫu task'!$A$5:$A$64,0)),""))</f>
        <v/>
      </c>
      <c r="G63" s="19"/>
      <c r="H63" s="20"/>
      <c r="I63" s="14" t="str">
        <f aca="false">IF($B63="","",IFERROR(INDEX('Mẫu task'!$H$5:$H$64,MATCH($B63,'Mẫu task'!$A$5:$A$64,0)),""))</f>
        <v/>
      </c>
      <c r="J63" s="24" t="str">
        <f aca="false">IF(OR($H63="",$I63=""),"",$H63+$I63)</f>
        <v/>
      </c>
      <c r="K63" s="22"/>
      <c r="L63" s="20"/>
      <c r="M63" s="14" t="str">
        <f aca="true">IF($B63="","",IF($K63="Hoàn thành","Xong",IF($K63="Không áp dụng","—",IF($K63="Bị chặn","Bị chặn",IF($O63=1,"TRỄ "&amp;(TODAY()-$J63)&amp;" ngày",IF(AND($K63="Đang làm",$P63&gt;0),"Bước trước chưa xong",IF(AND($J63&lt;&gt;"",N($J63)-TODAY()&lt;=3),"Sắp đến hạn",IF($K63="Đang làm","Đang làm","Chưa bắt đầu"))))))))</f>
        <v/>
      </c>
      <c r="N63" s="25"/>
      <c r="O63" s="26" t="n">
        <f aca="true">IF(AND($B63&lt;&gt;"",$K63&lt;&gt;"Hoàn thành",$K63&lt;&gt;"Không áp dụng",$J63&lt;&gt;""),IF($J63&lt;TODAY(),1,0),0)</f>
        <v>0</v>
      </c>
      <c r="P63" s="26" t="n">
        <f aca="false">IF(AND($B63&lt;&gt;"",$C63&lt;&gt;"",N($C63)&gt;1),COUNTIFS(Task!$A$5:$A$404,$A63,Task!$C$5:$C$404,N($C63)-1,Task!$K$5:$K$404,"&lt;&gt;Hoàn thành",Task!$K$5:$K$404,"&lt;&gt;Không áp dụng"),0)</f>
        <v>0</v>
      </c>
    </row>
    <row r="64" customFormat="false" ht="15" hidden="false" customHeight="false" outlineLevel="0" collapsed="false">
      <c r="A64" s="19"/>
      <c r="B64" s="22"/>
      <c r="C64" s="14" t="str">
        <f aca="false">IF($B64="","",IFERROR(INDEX('Mẫu task'!$B$5:$B$64,MATCH($B64,'Mẫu task'!$A$5:$A$64,0)),""))</f>
        <v/>
      </c>
      <c r="D64" s="15" t="str">
        <f aca="false">IF($C64="","",IFERROR(INDEX('Quy trình'!$B$5:$B$12,MATCH($C64,'Quy trình'!$A$5:$A$12,0)),""))</f>
        <v/>
      </c>
      <c r="E64" s="23" t="str">
        <f aca="false">IF($B64="","",IFERROR(INDEX('Mẫu task'!$D$5:$D$64,MATCH($B64,'Mẫu task'!$A$5:$A$64,0)),""))</f>
        <v/>
      </c>
      <c r="F64" s="23" t="str">
        <f aca="false">IF($B64="","",IFERROR(INDEX('Mẫu task'!$E$5:$E$64,MATCH($B64,'Mẫu task'!$A$5:$A$64,0)),""))</f>
        <v/>
      </c>
      <c r="G64" s="19"/>
      <c r="H64" s="20"/>
      <c r="I64" s="14" t="str">
        <f aca="false">IF($B64="","",IFERROR(INDEX('Mẫu task'!$H$5:$H$64,MATCH($B64,'Mẫu task'!$A$5:$A$64,0)),""))</f>
        <v/>
      </c>
      <c r="J64" s="24" t="str">
        <f aca="false">IF(OR($H64="",$I64=""),"",$H64+$I64)</f>
        <v/>
      </c>
      <c r="K64" s="22"/>
      <c r="L64" s="20"/>
      <c r="M64" s="14" t="str">
        <f aca="true">IF($B64="","",IF($K64="Hoàn thành","Xong",IF($K64="Không áp dụng","—",IF($K64="Bị chặn","Bị chặn",IF($O64=1,"TRỄ "&amp;(TODAY()-$J64)&amp;" ngày",IF(AND($K64="Đang làm",$P64&gt;0),"Bước trước chưa xong",IF(AND($J64&lt;&gt;"",N($J64)-TODAY()&lt;=3),"Sắp đến hạn",IF($K64="Đang làm","Đang làm","Chưa bắt đầu"))))))))</f>
        <v/>
      </c>
      <c r="N64" s="25"/>
      <c r="O64" s="26" t="n">
        <f aca="true">IF(AND($B64&lt;&gt;"",$K64&lt;&gt;"Hoàn thành",$K64&lt;&gt;"Không áp dụng",$J64&lt;&gt;""),IF($J64&lt;TODAY(),1,0),0)</f>
        <v>0</v>
      </c>
      <c r="P64" s="26" t="n">
        <f aca="false">IF(AND($B64&lt;&gt;"",$C64&lt;&gt;"",N($C64)&gt;1),COUNTIFS(Task!$A$5:$A$404,$A64,Task!$C$5:$C$404,N($C64)-1,Task!$K$5:$K$404,"&lt;&gt;Hoàn thành",Task!$K$5:$K$404,"&lt;&gt;Không áp dụng"),0)</f>
        <v>0</v>
      </c>
    </row>
    <row r="65" customFormat="false" ht="15" hidden="false" customHeight="false" outlineLevel="0" collapsed="false">
      <c r="A65" s="19"/>
      <c r="B65" s="22"/>
      <c r="C65" s="14" t="str">
        <f aca="false">IF($B65="","",IFERROR(INDEX('Mẫu task'!$B$5:$B$64,MATCH($B65,'Mẫu task'!$A$5:$A$64,0)),""))</f>
        <v/>
      </c>
      <c r="D65" s="15" t="str">
        <f aca="false">IF($C65="","",IFERROR(INDEX('Quy trình'!$B$5:$B$12,MATCH($C65,'Quy trình'!$A$5:$A$12,0)),""))</f>
        <v/>
      </c>
      <c r="E65" s="23" t="str">
        <f aca="false">IF($B65="","",IFERROR(INDEX('Mẫu task'!$D$5:$D$64,MATCH($B65,'Mẫu task'!$A$5:$A$64,0)),""))</f>
        <v/>
      </c>
      <c r="F65" s="23" t="str">
        <f aca="false">IF($B65="","",IFERROR(INDEX('Mẫu task'!$E$5:$E$64,MATCH($B65,'Mẫu task'!$A$5:$A$64,0)),""))</f>
        <v/>
      </c>
      <c r="G65" s="19"/>
      <c r="H65" s="20"/>
      <c r="I65" s="14" t="str">
        <f aca="false">IF($B65="","",IFERROR(INDEX('Mẫu task'!$H$5:$H$64,MATCH($B65,'Mẫu task'!$A$5:$A$64,0)),""))</f>
        <v/>
      </c>
      <c r="J65" s="24" t="str">
        <f aca="false">IF(OR($H65="",$I65=""),"",$H65+$I65)</f>
        <v/>
      </c>
      <c r="K65" s="22"/>
      <c r="L65" s="20"/>
      <c r="M65" s="14" t="str">
        <f aca="true">IF($B65="","",IF($K65="Hoàn thành","Xong",IF($K65="Không áp dụng","—",IF($K65="Bị chặn","Bị chặn",IF($O65=1,"TRỄ "&amp;(TODAY()-$J65)&amp;" ngày",IF(AND($K65="Đang làm",$P65&gt;0),"Bước trước chưa xong",IF(AND($J65&lt;&gt;"",N($J65)-TODAY()&lt;=3),"Sắp đến hạn",IF($K65="Đang làm","Đang làm","Chưa bắt đầu"))))))))</f>
        <v/>
      </c>
      <c r="N65" s="25"/>
      <c r="O65" s="26" t="n">
        <f aca="true">IF(AND($B65&lt;&gt;"",$K65&lt;&gt;"Hoàn thành",$K65&lt;&gt;"Không áp dụng",$J65&lt;&gt;""),IF($J65&lt;TODAY(),1,0),0)</f>
        <v>0</v>
      </c>
      <c r="P65" s="26" t="n">
        <f aca="false">IF(AND($B65&lt;&gt;"",$C65&lt;&gt;"",N($C65)&gt;1),COUNTIFS(Task!$A$5:$A$404,$A65,Task!$C$5:$C$404,N($C65)-1,Task!$K$5:$K$404,"&lt;&gt;Hoàn thành",Task!$K$5:$K$404,"&lt;&gt;Không áp dụng"),0)</f>
        <v>0</v>
      </c>
    </row>
    <row r="66" customFormat="false" ht="15" hidden="false" customHeight="false" outlineLevel="0" collapsed="false">
      <c r="A66" s="19"/>
      <c r="B66" s="22"/>
      <c r="C66" s="14" t="str">
        <f aca="false">IF($B66="","",IFERROR(INDEX('Mẫu task'!$B$5:$B$64,MATCH($B66,'Mẫu task'!$A$5:$A$64,0)),""))</f>
        <v/>
      </c>
      <c r="D66" s="15" t="str">
        <f aca="false">IF($C66="","",IFERROR(INDEX('Quy trình'!$B$5:$B$12,MATCH($C66,'Quy trình'!$A$5:$A$12,0)),""))</f>
        <v/>
      </c>
      <c r="E66" s="23" t="str">
        <f aca="false">IF($B66="","",IFERROR(INDEX('Mẫu task'!$D$5:$D$64,MATCH($B66,'Mẫu task'!$A$5:$A$64,0)),""))</f>
        <v/>
      </c>
      <c r="F66" s="23" t="str">
        <f aca="false">IF($B66="","",IFERROR(INDEX('Mẫu task'!$E$5:$E$64,MATCH($B66,'Mẫu task'!$A$5:$A$64,0)),""))</f>
        <v/>
      </c>
      <c r="G66" s="19"/>
      <c r="H66" s="20"/>
      <c r="I66" s="14" t="str">
        <f aca="false">IF($B66="","",IFERROR(INDEX('Mẫu task'!$H$5:$H$64,MATCH($B66,'Mẫu task'!$A$5:$A$64,0)),""))</f>
        <v/>
      </c>
      <c r="J66" s="24" t="str">
        <f aca="false">IF(OR($H66="",$I66=""),"",$H66+$I66)</f>
        <v/>
      </c>
      <c r="K66" s="22"/>
      <c r="L66" s="20"/>
      <c r="M66" s="14" t="str">
        <f aca="true">IF($B66="","",IF($K66="Hoàn thành","Xong",IF($K66="Không áp dụng","—",IF($K66="Bị chặn","Bị chặn",IF($O66=1,"TRỄ "&amp;(TODAY()-$J66)&amp;" ngày",IF(AND($K66="Đang làm",$P66&gt;0),"Bước trước chưa xong",IF(AND($J66&lt;&gt;"",N($J66)-TODAY()&lt;=3),"Sắp đến hạn",IF($K66="Đang làm","Đang làm","Chưa bắt đầu"))))))))</f>
        <v/>
      </c>
      <c r="N66" s="25"/>
      <c r="O66" s="26" t="n">
        <f aca="true">IF(AND($B66&lt;&gt;"",$K66&lt;&gt;"Hoàn thành",$K66&lt;&gt;"Không áp dụng",$J66&lt;&gt;""),IF($J66&lt;TODAY(),1,0),0)</f>
        <v>0</v>
      </c>
      <c r="P66" s="26" t="n">
        <f aca="false">IF(AND($B66&lt;&gt;"",$C66&lt;&gt;"",N($C66)&gt;1),COUNTIFS(Task!$A$5:$A$404,$A66,Task!$C$5:$C$404,N($C66)-1,Task!$K$5:$K$404,"&lt;&gt;Hoàn thành",Task!$K$5:$K$404,"&lt;&gt;Không áp dụng"),0)</f>
        <v>0</v>
      </c>
    </row>
    <row r="67" customFormat="false" ht="15" hidden="false" customHeight="false" outlineLevel="0" collapsed="false">
      <c r="A67" s="19"/>
      <c r="B67" s="22"/>
      <c r="C67" s="14" t="str">
        <f aca="false">IF($B67="","",IFERROR(INDEX('Mẫu task'!$B$5:$B$64,MATCH($B67,'Mẫu task'!$A$5:$A$64,0)),""))</f>
        <v/>
      </c>
      <c r="D67" s="15" t="str">
        <f aca="false">IF($C67="","",IFERROR(INDEX('Quy trình'!$B$5:$B$12,MATCH($C67,'Quy trình'!$A$5:$A$12,0)),""))</f>
        <v/>
      </c>
      <c r="E67" s="23" t="str">
        <f aca="false">IF($B67="","",IFERROR(INDEX('Mẫu task'!$D$5:$D$64,MATCH($B67,'Mẫu task'!$A$5:$A$64,0)),""))</f>
        <v/>
      </c>
      <c r="F67" s="23" t="str">
        <f aca="false">IF($B67="","",IFERROR(INDEX('Mẫu task'!$E$5:$E$64,MATCH($B67,'Mẫu task'!$A$5:$A$64,0)),""))</f>
        <v/>
      </c>
      <c r="G67" s="19"/>
      <c r="H67" s="20"/>
      <c r="I67" s="14" t="str">
        <f aca="false">IF($B67="","",IFERROR(INDEX('Mẫu task'!$H$5:$H$64,MATCH($B67,'Mẫu task'!$A$5:$A$64,0)),""))</f>
        <v/>
      </c>
      <c r="J67" s="24" t="str">
        <f aca="false">IF(OR($H67="",$I67=""),"",$H67+$I67)</f>
        <v/>
      </c>
      <c r="K67" s="22"/>
      <c r="L67" s="20"/>
      <c r="M67" s="14" t="str">
        <f aca="true">IF($B67="","",IF($K67="Hoàn thành","Xong",IF($K67="Không áp dụng","—",IF($K67="Bị chặn","Bị chặn",IF($O67=1,"TRỄ "&amp;(TODAY()-$J67)&amp;" ngày",IF(AND($K67="Đang làm",$P67&gt;0),"Bước trước chưa xong",IF(AND($J67&lt;&gt;"",N($J67)-TODAY()&lt;=3),"Sắp đến hạn",IF($K67="Đang làm","Đang làm","Chưa bắt đầu"))))))))</f>
        <v/>
      </c>
      <c r="N67" s="25"/>
      <c r="O67" s="26" t="n">
        <f aca="true">IF(AND($B67&lt;&gt;"",$K67&lt;&gt;"Hoàn thành",$K67&lt;&gt;"Không áp dụng",$J67&lt;&gt;""),IF($J67&lt;TODAY(),1,0),0)</f>
        <v>0</v>
      </c>
      <c r="P67" s="26" t="n">
        <f aca="false">IF(AND($B67&lt;&gt;"",$C67&lt;&gt;"",N($C67)&gt;1),COUNTIFS(Task!$A$5:$A$404,$A67,Task!$C$5:$C$404,N($C67)-1,Task!$K$5:$K$404,"&lt;&gt;Hoàn thành",Task!$K$5:$K$404,"&lt;&gt;Không áp dụng"),0)</f>
        <v>0</v>
      </c>
    </row>
    <row r="68" customFormat="false" ht="15" hidden="false" customHeight="false" outlineLevel="0" collapsed="false">
      <c r="A68" s="19"/>
      <c r="B68" s="22"/>
      <c r="C68" s="14" t="str">
        <f aca="false">IF($B68="","",IFERROR(INDEX('Mẫu task'!$B$5:$B$64,MATCH($B68,'Mẫu task'!$A$5:$A$64,0)),""))</f>
        <v/>
      </c>
      <c r="D68" s="15" t="str">
        <f aca="false">IF($C68="","",IFERROR(INDEX('Quy trình'!$B$5:$B$12,MATCH($C68,'Quy trình'!$A$5:$A$12,0)),""))</f>
        <v/>
      </c>
      <c r="E68" s="23" t="str">
        <f aca="false">IF($B68="","",IFERROR(INDEX('Mẫu task'!$D$5:$D$64,MATCH($B68,'Mẫu task'!$A$5:$A$64,0)),""))</f>
        <v/>
      </c>
      <c r="F68" s="23" t="str">
        <f aca="false">IF($B68="","",IFERROR(INDEX('Mẫu task'!$E$5:$E$64,MATCH($B68,'Mẫu task'!$A$5:$A$64,0)),""))</f>
        <v/>
      </c>
      <c r="G68" s="19"/>
      <c r="H68" s="20"/>
      <c r="I68" s="14" t="str">
        <f aca="false">IF($B68="","",IFERROR(INDEX('Mẫu task'!$H$5:$H$64,MATCH($B68,'Mẫu task'!$A$5:$A$64,0)),""))</f>
        <v/>
      </c>
      <c r="J68" s="24" t="str">
        <f aca="false">IF(OR($H68="",$I68=""),"",$H68+$I68)</f>
        <v/>
      </c>
      <c r="K68" s="22"/>
      <c r="L68" s="20"/>
      <c r="M68" s="14" t="str">
        <f aca="true">IF($B68="","",IF($K68="Hoàn thành","Xong",IF($K68="Không áp dụng","—",IF($K68="Bị chặn","Bị chặn",IF($O68=1,"TRỄ "&amp;(TODAY()-$J68)&amp;" ngày",IF(AND($K68="Đang làm",$P68&gt;0),"Bước trước chưa xong",IF(AND($J68&lt;&gt;"",N($J68)-TODAY()&lt;=3),"Sắp đến hạn",IF($K68="Đang làm","Đang làm","Chưa bắt đầu"))))))))</f>
        <v/>
      </c>
      <c r="N68" s="25"/>
      <c r="O68" s="26" t="n">
        <f aca="true">IF(AND($B68&lt;&gt;"",$K68&lt;&gt;"Hoàn thành",$K68&lt;&gt;"Không áp dụng",$J68&lt;&gt;""),IF($J68&lt;TODAY(),1,0),0)</f>
        <v>0</v>
      </c>
      <c r="P68" s="26" t="n">
        <f aca="false">IF(AND($B68&lt;&gt;"",$C68&lt;&gt;"",N($C68)&gt;1),COUNTIFS(Task!$A$5:$A$404,$A68,Task!$C$5:$C$404,N($C68)-1,Task!$K$5:$K$404,"&lt;&gt;Hoàn thành",Task!$K$5:$K$404,"&lt;&gt;Không áp dụng"),0)</f>
        <v>0</v>
      </c>
    </row>
    <row r="69" customFormat="false" ht="15" hidden="false" customHeight="false" outlineLevel="0" collapsed="false">
      <c r="A69" s="19"/>
      <c r="B69" s="22"/>
      <c r="C69" s="14" t="str">
        <f aca="false">IF($B69="","",IFERROR(INDEX('Mẫu task'!$B$5:$B$64,MATCH($B69,'Mẫu task'!$A$5:$A$64,0)),""))</f>
        <v/>
      </c>
      <c r="D69" s="15" t="str">
        <f aca="false">IF($C69="","",IFERROR(INDEX('Quy trình'!$B$5:$B$12,MATCH($C69,'Quy trình'!$A$5:$A$12,0)),""))</f>
        <v/>
      </c>
      <c r="E69" s="23" t="str">
        <f aca="false">IF($B69="","",IFERROR(INDEX('Mẫu task'!$D$5:$D$64,MATCH($B69,'Mẫu task'!$A$5:$A$64,0)),""))</f>
        <v/>
      </c>
      <c r="F69" s="23" t="str">
        <f aca="false">IF($B69="","",IFERROR(INDEX('Mẫu task'!$E$5:$E$64,MATCH($B69,'Mẫu task'!$A$5:$A$64,0)),""))</f>
        <v/>
      </c>
      <c r="G69" s="19"/>
      <c r="H69" s="20"/>
      <c r="I69" s="14" t="str">
        <f aca="false">IF($B69="","",IFERROR(INDEX('Mẫu task'!$H$5:$H$64,MATCH($B69,'Mẫu task'!$A$5:$A$64,0)),""))</f>
        <v/>
      </c>
      <c r="J69" s="24" t="str">
        <f aca="false">IF(OR($H69="",$I69=""),"",$H69+$I69)</f>
        <v/>
      </c>
      <c r="K69" s="22"/>
      <c r="L69" s="20"/>
      <c r="M69" s="14" t="str">
        <f aca="true">IF($B69="","",IF($K69="Hoàn thành","Xong",IF($K69="Không áp dụng","—",IF($K69="Bị chặn","Bị chặn",IF($O69=1,"TRỄ "&amp;(TODAY()-$J69)&amp;" ngày",IF(AND($K69="Đang làm",$P69&gt;0),"Bước trước chưa xong",IF(AND($J69&lt;&gt;"",N($J69)-TODAY()&lt;=3),"Sắp đến hạn",IF($K69="Đang làm","Đang làm","Chưa bắt đầu"))))))))</f>
        <v/>
      </c>
      <c r="N69" s="25"/>
      <c r="O69" s="26" t="n">
        <f aca="true">IF(AND($B69&lt;&gt;"",$K69&lt;&gt;"Hoàn thành",$K69&lt;&gt;"Không áp dụng",$J69&lt;&gt;""),IF($J69&lt;TODAY(),1,0),0)</f>
        <v>0</v>
      </c>
      <c r="P69" s="26" t="n">
        <f aca="false">IF(AND($B69&lt;&gt;"",$C69&lt;&gt;"",N($C69)&gt;1),COUNTIFS(Task!$A$5:$A$404,$A69,Task!$C$5:$C$404,N($C69)-1,Task!$K$5:$K$404,"&lt;&gt;Hoàn thành",Task!$K$5:$K$404,"&lt;&gt;Không áp dụng"),0)</f>
        <v>0</v>
      </c>
    </row>
    <row r="70" customFormat="false" ht="15" hidden="false" customHeight="false" outlineLevel="0" collapsed="false">
      <c r="A70" s="19"/>
      <c r="B70" s="22"/>
      <c r="C70" s="14" t="str">
        <f aca="false">IF($B70="","",IFERROR(INDEX('Mẫu task'!$B$5:$B$64,MATCH($B70,'Mẫu task'!$A$5:$A$64,0)),""))</f>
        <v/>
      </c>
      <c r="D70" s="15" t="str">
        <f aca="false">IF($C70="","",IFERROR(INDEX('Quy trình'!$B$5:$B$12,MATCH($C70,'Quy trình'!$A$5:$A$12,0)),""))</f>
        <v/>
      </c>
      <c r="E70" s="23" t="str">
        <f aca="false">IF($B70="","",IFERROR(INDEX('Mẫu task'!$D$5:$D$64,MATCH($B70,'Mẫu task'!$A$5:$A$64,0)),""))</f>
        <v/>
      </c>
      <c r="F70" s="23" t="str">
        <f aca="false">IF($B70="","",IFERROR(INDEX('Mẫu task'!$E$5:$E$64,MATCH($B70,'Mẫu task'!$A$5:$A$64,0)),""))</f>
        <v/>
      </c>
      <c r="G70" s="19"/>
      <c r="H70" s="20"/>
      <c r="I70" s="14" t="str">
        <f aca="false">IF($B70="","",IFERROR(INDEX('Mẫu task'!$H$5:$H$64,MATCH($B70,'Mẫu task'!$A$5:$A$64,0)),""))</f>
        <v/>
      </c>
      <c r="J70" s="24" t="str">
        <f aca="false">IF(OR($H70="",$I70=""),"",$H70+$I70)</f>
        <v/>
      </c>
      <c r="K70" s="22"/>
      <c r="L70" s="20"/>
      <c r="M70" s="14" t="str">
        <f aca="true">IF($B70="","",IF($K70="Hoàn thành","Xong",IF($K70="Không áp dụng","—",IF($K70="Bị chặn","Bị chặn",IF($O70=1,"TRỄ "&amp;(TODAY()-$J70)&amp;" ngày",IF(AND($K70="Đang làm",$P70&gt;0),"Bước trước chưa xong",IF(AND($J70&lt;&gt;"",N($J70)-TODAY()&lt;=3),"Sắp đến hạn",IF($K70="Đang làm","Đang làm","Chưa bắt đầu"))))))))</f>
        <v/>
      </c>
      <c r="N70" s="25"/>
      <c r="O70" s="26" t="n">
        <f aca="true">IF(AND($B70&lt;&gt;"",$K70&lt;&gt;"Hoàn thành",$K70&lt;&gt;"Không áp dụng",$J70&lt;&gt;""),IF($J70&lt;TODAY(),1,0),0)</f>
        <v>0</v>
      </c>
      <c r="P70" s="26" t="n">
        <f aca="false">IF(AND($B70&lt;&gt;"",$C70&lt;&gt;"",N($C70)&gt;1),COUNTIFS(Task!$A$5:$A$404,$A70,Task!$C$5:$C$404,N($C70)-1,Task!$K$5:$K$404,"&lt;&gt;Hoàn thành",Task!$K$5:$K$404,"&lt;&gt;Không áp dụng"),0)</f>
        <v>0</v>
      </c>
    </row>
    <row r="71" customFormat="false" ht="15" hidden="false" customHeight="false" outlineLevel="0" collapsed="false">
      <c r="A71" s="19"/>
      <c r="B71" s="22"/>
      <c r="C71" s="14" t="str">
        <f aca="false">IF($B71="","",IFERROR(INDEX('Mẫu task'!$B$5:$B$64,MATCH($B71,'Mẫu task'!$A$5:$A$64,0)),""))</f>
        <v/>
      </c>
      <c r="D71" s="15" t="str">
        <f aca="false">IF($C71="","",IFERROR(INDEX('Quy trình'!$B$5:$B$12,MATCH($C71,'Quy trình'!$A$5:$A$12,0)),""))</f>
        <v/>
      </c>
      <c r="E71" s="23" t="str">
        <f aca="false">IF($B71="","",IFERROR(INDEX('Mẫu task'!$D$5:$D$64,MATCH($B71,'Mẫu task'!$A$5:$A$64,0)),""))</f>
        <v/>
      </c>
      <c r="F71" s="23" t="str">
        <f aca="false">IF($B71="","",IFERROR(INDEX('Mẫu task'!$E$5:$E$64,MATCH($B71,'Mẫu task'!$A$5:$A$64,0)),""))</f>
        <v/>
      </c>
      <c r="G71" s="19"/>
      <c r="H71" s="20"/>
      <c r="I71" s="14" t="str">
        <f aca="false">IF($B71="","",IFERROR(INDEX('Mẫu task'!$H$5:$H$64,MATCH($B71,'Mẫu task'!$A$5:$A$64,0)),""))</f>
        <v/>
      </c>
      <c r="J71" s="24" t="str">
        <f aca="false">IF(OR($H71="",$I71=""),"",$H71+$I71)</f>
        <v/>
      </c>
      <c r="K71" s="22"/>
      <c r="L71" s="20"/>
      <c r="M71" s="14" t="str">
        <f aca="true">IF($B71="","",IF($K71="Hoàn thành","Xong",IF($K71="Không áp dụng","—",IF($K71="Bị chặn","Bị chặn",IF($O71=1,"TRỄ "&amp;(TODAY()-$J71)&amp;" ngày",IF(AND($K71="Đang làm",$P71&gt;0),"Bước trước chưa xong",IF(AND($J71&lt;&gt;"",N($J71)-TODAY()&lt;=3),"Sắp đến hạn",IF($K71="Đang làm","Đang làm","Chưa bắt đầu"))))))))</f>
        <v/>
      </c>
      <c r="N71" s="25"/>
      <c r="O71" s="26" t="n">
        <f aca="true">IF(AND($B71&lt;&gt;"",$K71&lt;&gt;"Hoàn thành",$K71&lt;&gt;"Không áp dụng",$J71&lt;&gt;""),IF($J71&lt;TODAY(),1,0),0)</f>
        <v>0</v>
      </c>
      <c r="P71" s="26" t="n">
        <f aca="false">IF(AND($B71&lt;&gt;"",$C71&lt;&gt;"",N($C71)&gt;1),COUNTIFS(Task!$A$5:$A$404,$A71,Task!$C$5:$C$404,N($C71)-1,Task!$K$5:$K$404,"&lt;&gt;Hoàn thành",Task!$K$5:$K$404,"&lt;&gt;Không áp dụng"),0)</f>
        <v>0</v>
      </c>
    </row>
    <row r="72" customFormat="false" ht="15" hidden="false" customHeight="false" outlineLevel="0" collapsed="false">
      <c r="A72" s="19"/>
      <c r="B72" s="22"/>
      <c r="C72" s="14" t="str">
        <f aca="false">IF($B72="","",IFERROR(INDEX('Mẫu task'!$B$5:$B$64,MATCH($B72,'Mẫu task'!$A$5:$A$64,0)),""))</f>
        <v/>
      </c>
      <c r="D72" s="15" t="str">
        <f aca="false">IF($C72="","",IFERROR(INDEX('Quy trình'!$B$5:$B$12,MATCH($C72,'Quy trình'!$A$5:$A$12,0)),""))</f>
        <v/>
      </c>
      <c r="E72" s="23" t="str">
        <f aca="false">IF($B72="","",IFERROR(INDEX('Mẫu task'!$D$5:$D$64,MATCH($B72,'Mẫu task'!$A$5:$A$64,0)),""))</f>
        <v/>
      </c>
      <c r="F72" s="23" t="str">
        <f aca="false">IF($B72="","",IFERROR(INDEX('Mẫu task'!$E$5:$E$64,MATCH($B72,'Mẫu task'!$A$5:$A$64,0)),""))</f>
        <v/>
      </c>
      <c r="G72" s="19"/>
      <c r="H72" s="20"/>
      <c r="I72" s="14" t="str">
        <f aca="false">IF($B72="","",IFERROR(INDEX('Mẫu task'!$H$5:$H$64,MATCH($B72,'Mẫu task'!$A$5:$A$64,0)),""))</f>
        <v/>
      </c>
      <c r="J72" s="24" t="str">
        <f aca="false">IF(OR($H72="",$I72=""),"",$H72+$I72)</f>
        <v/>
      </c>
      <c r="K72" s="22"/>
      <c r="L72" s="20"/>
      <c r="M72" s="14" t="str">
        <f aca="true">IF($B72="","",IF($K72="Hoàn thành","Xong",IF($K72="Không áp dụng","—",IF($K72="Bị chặn","Bị chặn",IF($O72=1,"TRỄ "&amp;(TODAY()-$J72)&amp;" ngày",IF(AND($K72="Đang làm",$P72&gt;0),"Bước trước chưa xong",IF(AND($J72&lt;&gt;"",N($J72)-TODAY()&lt;=3),"Sắp đến hạn",IF($K72="Đang làm","Đang làm","Chưa bắt đầu"))))))))</f>
        <v/>
      </c>
      <c r="N72" s="25"/>
      <c r="O72" s="26" t="n">
        <f aca="true">IF(AND($B72&lt;&gt;"",$K72&lt;&gt;"Hoàn thành",$K72&lt;&gt;"Không áp dụng",$J72&lt;&gt;""),IF($J72&lt;TODAY(),1,0),0)</f>
        <v>0</v>
      </c>
      <c r="P72" s="26" t="n">
        <f aca="false">IF(AND($B72&lt;&gt;"",$C72&lt;&gt;"",N($C72)&gt;1),COUNTIFS(Task!$A$5:$A$404,$A72,Task!$C$5:$C$404,N($C72)-1,Task!$K$5:$K$404,"&lt;&gt;Hoàn thành",Task!$K$5:$K$404,"&lt;&gt;Không áp dụng"),0)</f>
        <v>0</v>
      </c>
    </row>
    <row r="73" customFormat="false" ht="15" hidden="false" customHeight="false" outlineLevel="0" collapsed="false">
      <c r="A73" s="19"/>
      <c r="B73" s="22"/>
      <c r="C73" s="14" t="str">
        <f aca="false">IF($B73="","",IFERROR(INDEX('Mẫu task'!$B$5:$B$64,MATCH($B73,'Mẫu task'!$A$5:$A$64,0)),""))</f>
        <v/>
      </c>
      <c r="D73" s="15" t="str">
        <f aca="false">IF($C73="","",IFERROR(INDEX('Quy trình'!$B$5:$B$12,MATCH($C73,'Quy trình'!$A$5:$A$12,0)),""))</f>
        <v/>
      </c>
      <c r="E73" s="23" t="str">
        <f aca="false">IF($B73="","",IFERROR(INDEX('Mẫu task'!$D$5:$D$64,MATCH($B73,'Mẫu task'!$A$5:$A$64,0)),""))</f>
        <v/>
      </c>
      <c r="F73" s="23" t="str">
        <f aca="false">IF($B73="","",IFERROR(INDEX('Mẫu task'!$E$5:$E$64,MATCH($B73,'Mẫu task'!$A$5:$A$64,0)),""))</f>
        <v/>
      </c>
      <c r="G73" s="19"/>
      <c r="H73" s="20"/>
      <c r="I73" s="14" t="str">
        <f aca="false">IF($B73="","",IFERROR(INDEX('Mẫu task'!$H$5:$H$64,MATCH($B73,'Mẫu task'!$A$5:$A$64,0)),""))</f>
        <v/>
      </c>
      <c r="J73" s="24" t="str">
        <f aca="false">IF(OR($H73="",$I73=""),"",$H73+$I73)</f>
        <v/>
      </c>
      <c r="K73" s="22"/>
      <c r="L73" s="20"/>
      <c r="M73" s="14" t="str">
        <f aca="true">IF($B73="","",IF($K73="Hoàn thành","Xong",IF($K73="Không áp dụng","—",IF($K73="Bị chặn","Bị chặn",IF($O73=1,"TRỄ "&amp;(TODAY()-$J73)&amp;" ngày",IF(AND($K73="Đang làm",$P73&gt;0),"Bước trước chưa xong",IF(AND($J73&lt;&gt;"",N($J73)-TODAY()&lt;=3),"Sắp đến hạn",IF($K73="Đang làm","Đang làm","Chưa bắt đầu"))))))))</f>
        <v/>
      </c>
      <c r="N73" s="25"/>
      <c r="O73" s="26" t="n">
        <f aca="true">IF(AND($B73&lt;&gt;"",$K73&lt;&gt;"Hoàn thành",$K73&lt;&gt;"Không áp dụng",$J73&lt;&gt;""),IF($J73&lt;TODAY(),1,0),0)</f>
        <v>0</v>
      </c>
      <c r="P73" s="26" t="n">
        <f aca="false">IF(AND($B73&lt;&gt;"",$C73&lt;&gt;"",N($C73)&gt;1),COUNTIFS(Task!$A$5:$A$404,$A73,Task!$C$5:$C$404,N($C73)-1,Task!$K$5:$K$404,"&lt;&gt;Hoàn thành",Task!$K$5:$K$404,"&lt;&gt;Không áp dụng"),0)</f>
        <v>0</v>
      </c>
    </row>
    <row r="74" customFormat="false" ht="15" hidden="false" customHeight="false" outlineLevel="0" collapsed="false">
      <c r="A74" s="19"/>
      <c r="B74" s="22"/>
      <c r="C74" s="14" t="str">
        <f aca="false">IF($B74="","",IFERROR(INDEX('Mẫu task'!$B$5:$B$64,MATCH($B74,'Mẫu task'!$A$5:$A$64,0)),""))</f>
        <v/>
      </c>
      <c r="D74" s="15" t="str">
        <f aca="false">IF($C74="","",IFERROR(INDEX('Quy trình'!$B$5:$B$12,MATCH($C74,'Quy trình'!$A$5:$A$12,0)),""))</f>
        <v/>
      </c>
      <c r="E74" s="23" t="str">
        <f aca="false">IF($B74="","",IFERROR(INDEX('Mẫu task'!$D$5:$D$64,MATCH($B74,'Mẫu task'!$A$5:$A$64,0)),""))</f>
        <v/>
      </c>
      <c r="F74" s="23" t="str">
        <f aca="false">IF($B74="","",IFERROR(INDEX('Mẫu task'!$E$5:$E$64,MATCH($B74,'Mẫu task'!$A$5:$A$64,0)),""))</f>
        <v/>
      </c>
      <c r="G74" s="19"/>
      <c r="H74" s="20"/>
      <c r="I74" s="14" t="str">
        <f aca="false">IF($B74="","",IFERROR(INDEX('Mẫu task'!$H$5:$H$64,MATCH($B74,'Mẫu task'!$A$5:$A$64,0)),""))</f>
        <v/>
      </c>
      <c r="J74" s="24" t="str">
        <f aca="false">IF(OR($H74="",$I74=""),"",$H74+$I74)</f>
        <v/>
      </c>
      <c r="K74" s="22"/>
      <c r="L74" s="20"/>
      <c r="M74" s="14" t="str">
        <f aca="true">IF($B74="","",IF($K74="Hoàn thành","Xong",IF($K74="Không áp dụng","—",IF($K74="Bị chặn","Bị chặn",IF($O74=1,"TRỄ "&amp;(TODAY()-$J74)&amp;" ngày",IF(AND($K74="Đang làm",$P74&gt;0),"Bước trước chưa xong",IF(AND($J74&lt;&gt;"",N($J74)-TODAY()&lt;=3),"Sắp đến hạn",IF($K74="Đang làm","Đang làm","Chưa bắt đầu"))))))))</f>
        <v/>
      </c>
      <c r="N74" s="25"/>
      <c r="O74" s="26" t="n">
        <f aca="true">IF(AND($B74&lt;&gt;"",$K74&lt;&gt;"Hoàn thành",$K74&lt;&gt;"Không áp dụng",$J74&lt;&gt;""),IF($J74&lt;TODAY(),1,0),0)</f>
        <v>0</v>
      </c>
      <c r="P74" s="26" t="n">
        <f aca="false">IF(AND($B74&lt;&gt;"",$C74&lt;&gt;"",N($C74)&gt;1),COUNTIFS(Task!$A$5:$A$404,$A74,Task!$C$5:$C$404,N($C74)-1,Task!$K$5:$K$404,"&lt;&gt;Hoàn thành",Task!$K$5:$K$404,"&lt;&gt;Không áp dụng"),0)</f>
        <v>0</v>
      </c>
    </row>
    <row r="75" customFormat="false" ht="15" hidden="false" customHeight="false" outlineLevel="0" collapsed="false">
      <c r="A75" s="19"/>
      <c r="B75" s="22"/>
      <c r="C75" s="14" t="str">
        <f aca="false">IF($B75="","",IFERROR(INDEX('Mẫu task'!$B$5:$B$64,MATCH($B75,'Mẫu task'!$A$5:$A$64,0)),""))</f>
        <v/>
      </c>
      <c r="D75" s="15" t="str">
        <f aca="false">IF($C75="","",IFERROR(INDEX('Quy trình'!$B$5:$B$12,MATCH($C75,'Quy trình'!$A$5:$A$12,0)),""))</f>
        <v/>
      </c>
      <c r="E75" s="23" t="str">
        <f aca="false">IF($B75="","",IFERROR(INDEX('Mẫu task'!$D$5:$D$64,MATCH($B75,'Mẫu task'!$A$5:$A$64,0)),""))</f>
        <v/>
      </c>
      <c r="F75" s="23" t="str">
        <f aca="false">IF($B75="","",IFERROR(INDEX('Mẫu task'!$E$5:$E$64,MATCH($B75,'Mẫu task'!$A$5:$A$64,0)),""))</f>
        <v/>
      </c>
      <c r="G75" s="19"/>
      <c r="H75" s="20"/>
      <c r="I75" s="14" t="str">
        <f aca="false">IF($B75="","",IFERROR(INDEX('Mẫu task'!$H$5:$H$64,MATCH($B75,'Mẫu task'!$A$5:$A$64,0)),""))</f>
        <v/>
      </c>
      <c r="J75" s="24" t="str">
        <f aca="false">IF(OR($H75="",$I75=""),"",$H75+$I75)</f>
        <v/>
      </c>
      <c r="K75" s="22"/>
      <c r="L75" s="20"/>
      <c r="M75" s="14" t="str">
        <f aca="true">IF($B75="","",IF($K75="Hoàn thành","Xong",IF($K75="Không áp dụng","—",IF($K75="Bị chặn","Bị chặn",IF($O75=1,"TRỄ "&amp;(TODAY()-$J75)&amp;" ngày",IF(AND($K75="Đang làm",$P75&gt;0),"Bước trước chưa xong",IF(AND($J75&lt;&gt;"",N($J75)-TODAY()&lt;=3),"Sắp đến hạn",IF($K75="Đang làm","Đang làm","Chưa bắt đầu"))))))))</f>
        <v/>
      </c>
      <c r="N75" s="25"/>
      <c r="O75" s="26" t="n">
        <f aca="true">IF(AND($B75&lt;&gt;"",$K75&lt;&gt;"Hoàn thành",$K75&lt;&gt;"Không áp dụng",$J75&lt;&gt;""),IF($J75&lt;TODAY(),1,0),0)</f>
        <v>0</v>
      </c>
      <c r="P75" s="26" t="n">
        <f aca="false">IF(AND($B75&lt;&gt;"",$C75&lt;&gt;"",N($C75)&gt;1),COUNTIFS(Task!$A$5:$A$404,$A75,Task!$C$5:$C$404,N($C75)-1,Task!$K$5:$K$404,"&lt;&gt;Hoàn thành",Task!$K$5:$K$404,"&lt;&gt;Không áp dụng"),0)</f>
        <v>0</v>
      </c>
    </row>
    <row r="76" customFormat="false" ht="15" hidden="false" customHeight="false" outlineLevel="0" collapsed="false">
      <c r="A76" s="19"/>
      <c r="B76" s="22"/>
      <c r="C76" s="14" t="str">
        <f aca="false">IF($B76="","",IFERROR(INDEX('Mẫu task'!$B$5:$B$64,MATCH($B76,'Mẫu task'!$A$5:$A$64,0)),""))</f>
        <v/>
      </c>
      <c r="D76" s="15" t="str">
        <f aca="false">IF($C76="","",IFERROR(INDEX('Quy trình'!$B$5:$B$12,MATCH($C76,'Quy trình'!$A$5:$A$12,0)),""))</f>
        <v/>
      </c>
      <c r="E76" s="23" t="str">
        <f aca="false">IF($B76="","",IFERROR(INDEX('Mẫu task'!$D$5:$D$64,MATCH($B76,'Mẫu task'!$A$5:$A$64,0)),""))</f>
        <v/>
      </c>
      <c r="F76" s="23" t="str">
        <f aca="false">IF($B76="","",IFERROR(INDEX('Mẫu task'!$E$5:$E$64,MATCH($B76,'Mẫu task'!$A$5:$A$64,0)),""))</f>
        <v/>
      </c>
      <c r="G76" s="19"/>
      <c r="H76" s="20"/>
      <c r="I76" s="14" t="str">
        <f aca="false">IF($B76="","",IFERROR(INDEX('Mẫu task'!$H$5:$H$64,MATCH($B76,'Mẫu task'!$A$5:$A$64,0)),""))</f>
        <v/>
      </c>
      <c r="J76" s="24" t="str">
        <f aca="false">IF(OR($H76="",$I76=""),"",$H76+$I76)</f>
        <v/>
      </c>
      <c r="K76" s="22"/>
      <c r="L76" s="20"/>
      <c r="M76" s="14" t="str">
        <f aca="true">IF($B76="","",IF($K76="Hoàn thành","Xong",IF($K76="Không áp dụng","—",IF($K76="Bị chặn","Bị chặn",IF($O76=1,"TRỄ "&amp;(TODAY()-$J76)&amp;" ngày",IF(AND($K76="Đang làm",$P76&gt;0),"Bước trước chưa xong",IF(AND($J76&lt;&gt;"",N($J76)-TODAY()&lt;=3),"Sắp đến hạn",IF($K76="Đang làm","Đang làm","Chưa bắt đầu"))))))))</f>
        <v/>
      </c>
      <c r="N76" s="25"/>
      <c r="O76" s="26" t="n">
        <f aca="true">IF(AND($B76&lt;&gt;"",$K76&lt;&gt;"Hoàn thành",$K76&lt;&gt;"Không áp dụng",$J76&lt;&gt;""),IF($J76&lt;TODAY(),1,0),0)</f>
        <v>0</v>
      </c>
      <c r="P76" s="26" t="n">
        <f aca="false">IF(AND($B76&lt;&gt;"",$C76&lt;&gt;"",N($C76)&gt;1),COUNTIFS(Task!$A$5:$A$404,$A76,Task!$C$5:$C$404,N($C76)-1,Task!$K$5:$K$404,"&lt;&gt;Hoàn thành",Task!$K$5:$K$404,"&lt;&gt;Không áp dụng"),0)</f>
        <v>0</v>
      </c>
    </row>
    <row r="77" customFormat="false" ht="15" hidden="false" customHeight="false" outlineLevel="0" collapsed="false">
      <c r="A77" s="19"/>
      <c r="B77" s="22"/>
      <c r="C77" s="14" t="str">
        <f aca="false">IF($B77="","",IFERROR(INDEX('Mẫu task'!$B$5:$B$64,MATCH($B77,'Mẫu task'!$A$5:$A$64,0)),""))</f>
        <v/>
      </c>
      <c r="D77" s="15" t="str">
        <f aca="false">IF($C77="","",IFERROR(INDEX('Quy trình'!$B$5:$B$12,MATCH($C77,'Quy trình'!$A$5:$A$12,0)),""))</f>
        <v/>
      </c>
      <c r="E77" s="23" t="str">
        <f aca="false">IF($B77="","",IFERROR(INDEX('Mẫu task'!$D$5:$D$64,MATCH($B77,'Mẫu task'!$A$5:$A$64,0)),""))</f>
        <v/>
      </c>
      <c r="F77" s="23" t="str">
        <f aca="false">IF($B77="","",IFERROR(INDEX('Mẫu task'!$E$5:$E$64,MATCH($B77,'Mẫu task'!$A$5:$A$64,0)),""))</f>
        <v/>
      </c>
      <c r="G77" s="19"/>
      <c r="H77" s="20"/>
      <c r="I77" s="14" t="str">
        <f aca="false">IF($B77="","",IFERROR(INDEX('Mẫu task'!$H$5:$H$64,MATCH($B77,'Mẫu task'!$A$5:$A$64,0)),""))</f>
        <v/>
      </c>
      <c r="J77" s="24" t="str">
        <f aca="false">IF(OR($H77="",$I77=""),"",$H77+$I77)</f>
        <v/>
      </c>
      <c r="K77" s="22"/>
      <c r="L77" s="20"/>
      <c r="M77" s="14" t="str">
        <f aca="true">IF($B77="","",IF($K77="Hoàn thành","Xong",IF($K77="Không áp dụng","—",IF($K77="Bị chặn","Bị chặn",IF($O77=1,"TRỄ "&amp;(TODAY()-$J77)&amp;" ngày",IF(AND($K77="Đang làm",$P77&gt;0),"Bước trước chưa xong",IF(AND($J77&lt;&gt;"",N($J77)-TODAY()&lt;=3),"Sắp đến hạn",IF($K77="Đang làm","Đang làm","Chưa bắt đầu"))))))))</f>
        <v/>
      </c>
      <c r="N77" s="25"/>
      <c r="O77" s="26" t="n">
        <f aca="true">IF(AND($B77&lt;&gt;"",$K77&lt;&gt;"Hoàn thành",$K77&lt;&gt;"Không áp dụng",$J77&lt;&gt;""),IF($J77&lt;TODAY(),1,0),0)</f>
        <v>0</v>
      </c>
      <c r="P77" s="26" t="n">
        <f aca="false">IF(AND($B77&lt;&gt;"",$C77&lt;&gt;"",N($C77)&gt;1),COUNTIFS(Task!$A$5:$A$404,$A77,Task!$C$5:$C$404,N($C77)-1,Task!$K$5:$K$404,"&lt;&gt;Hoàn thành",Task!$K$5:$K$404,"&lt;&gt;Không áp dụng"),0)</f>
        <v>0</v>
      </c>
    </row>
    <row r="78" customFormat="false" ht="15" hidden="false" customHeight="false" outlineLevel="0" collapsed="false">
      <c r="A78" s="19"/>
      <c r="B78" s="22"/>
      <c r="C78" s="14" t="str">
        <f aca="false">IF($B78="","",IFERROR(INDEX('Mẫu task'!$B$5:$B$64,MATCH($B78,'Mẫu task'!$A$5:$A$64,0)),""))</f>
        <v/>
      </c>
      <c r="D78" s="15" t="str">
        <f aca="false">IF($C78="","",IFERROR(INDEX('Quy trình'!$B$5:$B$12,MATCH($C78,'Quy trình'!$A$5:$A$12,0)),""))</f>
        <v/>
      </c>
      <c r="E78" s="23" t="str">
        <f aca="false">IF($B78="","",IFERROR(INDEX('Mẫu task'!$D$5:$D$64,MATCH($B78,'Mẫu task'!$A$5:$A$64,0)),""))</f>
        <v/>
      </c>
      <c r="F78" s="23" t="str">
        <f aca="false">IF($B78="","",IFERROR(INDEX('Mẫu task'!$E$5:$E$64,MATCH($B78,'Mẫu task'!$A$5:$A$64,0)),""))</f>
        <v/>
      </c>
      <c r="G78" s="19"/>
      <c r="H78" s="20"/>
      <c r="I78" s="14" t="str">
        <f aca="false">IF($B78="","",IFERROR(INDEX('Mẫu task'!$H$5:$H$64,MATCH($B78,'Mẫu task'!$A$5:$A$64,0)),""))</f>
        <v/>
      </c>
      <c r="J78" s="24" t="str">
        <f aca="false">IF(OR($H78="",$I78=""),"",$H78+$I78)</f>
        <v/>
      </c>
      <c r="K78" s="22"/>
      <c r="L78" s="20"/>
      <c r="M78" s="14" t="str">
        <f aca="true">IF($B78="","",IF($K78="Hoàn thành","Xong",IF($K78="Không áp dụng","—",IF($K78="Bị chặn","Bị chặn",IF($O78=1,"TRỄ "&amp;(TODAY()-$J78)&amp;" ngày",IF(AND($K78="Đang làm",$P78&gt;0),"Bước trước chưa xong",IF(AND($J78&lt;&gt;"",N($J78)-TODAY()&lt;=3),"Sắp đến hạn",IF($K78="Đang làm","Đang làm","Chưa bắt đầu"))))))))</f>
        <v/>
      </c>
      <c r="N78" s="25"/>
      <c r="O78" s="26" t="n">
        <f aca="true">IF(AND($B78&lt;&gt;"",$K78&lt;&gt;"Hoàn thành",$K78&lt;&gt;"Không áp dụng",$J78&lt;&gt;""),IF($J78&lt;TODAY(),1,0),0)</f>
        <v>0</v>
      </c>
      <c r="P78" s="26" t="n">
        <f aca="false">IF(AND($B78&lt;&gt;"",$C78&lt;&gt;"",N($C78)&gt;1),COUNTIFS(Task!$A$5:$A$404,$A78,Task!$C$5:$C$404,N($C78)-1,Task!$K$5:$K$404,"&lt;&gt;Hoàn thành",Task!$K$5:$K$404,"&lt;&gt;Không áp dụng"),0)</f>
        <v>0</v>
      </c>
    </row>
    <row r="79" customFormat="false" ht="15" hidden="false" customHeight="false" outlineLevel="0" collapsed="false">
      <c r="A79" s="19"/>
      <c r="B79" s="22"/>
      <c r="C79" s="14" t="str">
        <f aca="false">IF($B79="","",IFERROR(INDEX('Mẫu task'!$B$5:$B$64,MATCH($B79,'Mẫu task'!$A$5:$A$64,0)),""))</f>
        <v/>
      </c>
      <c r="D79" s="15" t="str">
        <f aca="false">IF($C79="","",IFERROR(INDEX('Quy trình'!$B$5:$B$12,MATCH($C79,'Quy trình'!$A$5:$A$12,0)),""))</f>
        <v/>
      </c>
      <c r="E79" s="23" t="str">
        <f aca="false">IF($B79="","",IFERROR(INDEX('Mẫu task'!$D$5:$D$64,MATCH($B79,'Mẫu task'!$A$5:$A$64,0)),""))</f>
        <v/>
      </c>
      <c r="F79" s="23" t="str">
        <f aca="false">IF($B79="","",IFERROR(INDEX('Mẫu task'!$E$5:$E$64,MATCH($B79,'Mẫu task'!$A$5:$A$64,0)),""))</f>
        <v/>
      </c>
      <c r="G79" s="19"/>
      <c r="H79" s="20"/>
      <c r="I79" s="14" t="str">
        <f aca="false">IF($B79="","",IFERROR(INDEX('Mẫu task'!$H$5:$H$64,MATCH($B79,'Mẫu task'!$A$5:$A$64,0)),""))</f>
        <v/>
      </c>
      <c r="J79" s="24" t="str">
        <f aca="false">IF(OR($H79="",$I79=""),"",$H79+$I79)</f>
        <v/>
      </c>
      <c r="K79" s="22"/>
      <c r="L79" s="20"/>
      <c r="M79" s="14" t="str">
        <f aca="true">IF($B79="","",IF($K79="Hoàn thành","Xong",IF($K79="Không áp dụng","—",IF($K79="Bị chặn","Bị chặn",IF($O79=1,"TRỄ "&amp;(TODAY()-$J79)&amp;" ngày",IF(AND($K79="Đang làm",$P79&gt;0),"Bước trước chưa xong",IF(AND($J79&lt;&gt;"",N($J79)-TODAY()&lt;=3),"Sắp đến hạn",IF($K79="Đang làm","Đang làm","Chưa bắt đầu"))))))))</f>
        <v/>
      </c>
      <c r="N79" s="25"/>
      <c r="O79" s="26" t="n">
        <f aca="true">IF(AND($B79&lt;&gt;"",$K79&lt;&gt;"Hoàn thành",$K79&lt;&gt;"Không áp dụng",$J79&lt;&gt;""),IF($J79&lt;TODAY(),1,0),0)</f>
        <v>0</v>
      </c>
      <c r="P79" s="26" t="n">
        <f aca="false">IF(AND($B79&lt;&gt;"",$C79&lt;&gt;"",N($C79)&gt;1),COUNTIFS(Task!$A$5:$A$404,$A79,Task!$C$5:$C$404,N($C79)-1,Task!$K$5:$K$404,"&lt;&gt;Hoàn thành",Task!$K$5:$K$404,"&lt;&gt;Không áp dụng"),0)</f>
        <v>0</v>
      </c>
    </row>
    <row r="80" customFormat="false" ht="15" hidden="false" customHeight="false" outlineLevel="0" collapsed="false">
      <c r="A80" s="19"/>
      <c r="B80" s="22"/>
      <c r="C80" s="14" t="str">
        <f aca="false">IF($B80="","",IFERROR(INDEX('Mẫu task'!$B$5:$B$64,MATCH($B80,'Mẫu task'!$A$5:$A$64,0)),""))</f>
        <v/>
      </c>
      <c r="D80" s="15" t="str">
        <f aca="false">IF($C80="","",IFERROR(INDEX('Quy trình'!$B$5:$B$12,MATCH($C80,'Quy trình'!$A$5:$A$12,0)),""))</f>
        <v/>
      </c>
      <c r="E80" s="23" t="str">
        <f aca="false">IF($B80="","",IFERROR(INDEX('Mẫu task'!$D$5:$D$64,MATCH($B80,'Mẫu task'!$A$5:$A$64,0)),""))</f>
        <v/>
      </c>
      <c r="F80" s="23" t="str">
        <f aca="false">IF($B80="","",IFERROR(INDEX('Mẫu task'!$E$5:$E$64,MATCH($B80,'Mẫu task'!$A$5:$A$64,0)),""))</f>
        <v/>
      </c>
      <c r="G80" s="19"/>
      <c r="H80" s="20"/>
      <c r="I80" s="14" t="str">
        <f aca="false">IF($B80="","",IFERROR(INDEX('Mẫu task'!$H$5:$H$64,MATCH($B80,'Mẫu task'!$A$5:$A$64,0)),""))</f>
        <v/>
      </c>
      <c r="J80" s="24" t="str">
        <f aca="false">IF(OR($H80="",$I80=""),"",$H80+$I80)</f>
        <v/>
      </c>
      <c r="K80" s="22"/>
      <c r="L80" s="20"/>
      <c r="M80" s="14" t="str">
        <f aca="true">IF($B80="","",IF($K80="Hoàn thành","Xong",IF($K80="Không áp dụng","—",IF($K80="Bị chặn","Bị chặn",IF($O80=1,"TRỄ "&amp;(TODAY()-$J80)&amp;" ngày",IF(AND($K80="Đang làm",$P80&gt;0),"Bước trước chưa xong",IF(AND($J80&lt;&gt;"",N($J80)-TODAY()&lt;=3),"Sắp đến hạn",IF($K80="Đang làm","Đang làm","Chưa bắt đầu"))))))))</f>
        <v/>
      </c>
      <c r="N80" s="25"/>
      <c r="O80" s="26" t="n">
        <f aca="true">IF(AND($B80&lt;&gt;"",$K80&lt;&gt;"Hoàn thành",$K80&lt;&gt;"Không áp dụng",$J80&lt;&gt;""),IF($J80&lt;TODAY(),1,0),0)</f>
        <v>0</v>
      </c>
      <c r="P80" s="26" t="n">
        <f aca="false">IF(AND($B80&lt;&gt;"",$C80&lt;&gt;"",N($C80)&gt;1),COUNTIFS(Task!$A$5:$A$404,$A80,Task!$C$5:$C$404,N($C80)-1,Task!$K$5:$K$404,"&lt;&gt;Hoàn thành",Task!$K$5:$K$404,"&lt;&gt;Không áp dụng"),0)</f>
        <v>0</v>
      </c>
    </row>
    <row r="81" customFormat="false" ht="15" hidden="false" customHeight="false" outlineLevel="0" collapsed="false">
      <c r="A81" s="19"/>
      <c r="B81" s="22"/>
      <c r="C81" s="14" t="str">
        <f aca="false">IF($B81="","",IFERROR(INDEX('Mẫu task'!$B$5:$B$64,MATCH($B81,'Mẫu task'!$A$5:$A$64,0)),""))</f>
        <v/>
      </c>
      <c r="D81" s="15" t="str">
        <f aca="false">IF($C81="","",IFERROR(INDEX('Quy trình'!$B$5:$B$12,MATCH($C81,'Quy trình'!$A$5:$A$12,0)),""))</f>
        <v/>
      </c>
      <c r="E81" s="23" t="str">
        <f aca="false">IF($B81="","",IFERROR(INDEX('Mẫu task'!$D$5:$D$64,MATCH($B81,'Mẫu task'!$A$5:$A$64,0)),""))</f>
        <v/>
      </c>
      <c r="F81" s="23" t="str">
        <f aca="false">IF($B81="","",IFERROR(INDEX('Mẫu task'!$E$5:$E$64,MATCH($B81,'Mẫu task'!$A$5:$A$64,0)),""))</f>
        <v/>
      </c>
      <c r="G81" s="19"/>
      <c r="H81" s="20"/>
      <c r="I81" s="14" t="str">
        <f aca="false">IF($B81="","",IFERROR(INDEX('Mẫu task'!$H$5:$H$64,MATCH($B81,'Mẫu task'!$A$5:$A$64,0)),""))</f>
        <v/>
      </c>
      <c r="J81" s="24" t="str">
        <f aca="false">IF(OR($H81="",$I81=""),"",$H81+$I81)</f>
        <v/>
      </c>
      <c r="K81" s="22"/>
      <c r="L81" s="20"/>
      <c r="M81" s="14" t="str">
        <f aca="true">IF($B81="","",IF($K81="Hoàn thành","Xong",IF($K81="Không áp dụng","—",IF($K81="Bị chặn","Bị chặn",IF($O81=1,"TRỄ "&amp;(TODAY()-$J81)&amp;" ngày",IF(AND($K81="Đang làm",$P81&gt;0),"Bước trước chưa xong",IF(AND($J81&lt;&gt;"",N($J81)-TODAY()&lt;=3),"Sắp đến hạn",IF($K81="Đang làm","Đang làm","Chưa bắt đầu"))))))))</f>
        <v/>
      </c>
      <c r="N81" s="25"/>
      <c r="O81" s="26" t="n">
        <f aca="true">IF(AND($B81&lt;&gt;"",$K81&lt;&gt;"Hoàn thành",$K81&lt;&gt;"Không áp dụng",$J81&lt;&gt;""),IF($J81&lt;TODAY(),1,0),0)</f>
        <v>0</v>
      </c>
      <c r="P81" s="26" t="n">
        <f aca="false">IF(AND($B81&lt;&gt;"",$C81&lt;&gt;"",N($C81)&gt;1),COUNTIFS(Task!$A$5:$A$404,$A81,Task!$C$5:$C$404,N($C81)-1,Task!$K$5:$K$404,"&lt;&gt;Hoàn thành",Task!$K$5:$K$404,"&lt;&gt;Không áp dụng"),0)</f>
        <v>0</v>
      </c>
    </row>
    <row r="82" customFormat="false" ht="15" hidden="false" customHeight="false" outlineLevel="0" collapsed="false">
      <c r="A82" s="19"/>
      <c r="B82" s="22"/>
      <c r="C82" s="14" t="str">
        <f aca="false">IF($B82="","",IFERROR(INDEX('Mẫu task'!$B$5:$B$64,MATCH($B82,'Mẫu task'!$A$5:$A$64,0)),""))</f>
        <v/>
      </c>
      <c r="D82" s="15" t="str">
        <f aca="false">IF($C82="","",IFERROR(INDEX('Quy trình'!$B$5:$B$12,MATCH($C82,'Quy trình'!$A$5:$A$12,0)),""))</f>
        <v/>
      </c>
      <c r="E82" s="23" t="str">
        <f aca="false">IF($B82="","",IFERROR(INDEX('Mẫu task'!$D$5:$D$64,MATCH($B82,'Mẫu task'!$A$5:$A$64,0)),""))</f>
        <v/>
      </c>
      <c r="F82" s="23" t="str">
        <f aca="false">IF($B82="","",IFERROR(INDEX('Mẫu task'!$E$5:$E$64,MATCH($B82,'Mẫu task'!$A$5:$A$64,0)),""))</f>
        <v/>
      </c>
      <c r="G82" s="19"/>
      <c r="H82" s="20"/>
      <c r="I82" s="14" t="str">
        <f aca="false">IF($B82="","",IFERROR(INDEX('Mẫu task'!$H$5:$H$64,MATCH($B82,'Mẫu task'!$A$5:$A$64,0)),""))</f>
        <v/>
      </c>
      <c r="J82" s="24" t="str">
        <f aca="false">IF(OR($H82="",$I82=""),"",$H82+$I82)</f>
        <v/>
      </c>
      <c r="K82" s="22"/>
      <c r="L82" s="20"/>
      <c r="M82" s="14" t="str">
        <f aca="true">IF($B82="","",IF($K82="Hoàn thành","Xong",IF($K82="Không áp dụng","—",IF($K82="Bị chặn","Bị chặn",IF($O82=1,"TRỄ "&amp;(TODAY()-$J82)&amp;" ngày",IF(AND($K82="Đang làm",$P82&gt;0),"Bước trước chưa xong",IF(AND($J82&lt;&gt;"",N($J82)-TODAY()&lt;=3),"Sắp đến hạn",IF($K82="Đang làm","Đang làm","Chưa bắt đầu"))))))))</f>
        <v/>
      </c>
      <c r="N82" s="25"/>
      <c r="O82" s="26" t="n">
        <f aca="true">IF(AND($B82&lt;&gt;"",$K82&lt;&gt;"Hoàn thành",$K82&lt;&gt;"Không áp dụng",$J82&lt;&gt;""),IF($J82&lt;TODAY(),1,0),0)</f>
        <v>0</v>
      </c>
      <c r="P82" s="26" t="n">
        <f aca="false">IF(AND($B82&lt;&gt;"",$C82&lt;&gt;"",N($C82)&gt;1),COUNTIFS(Task!$A$5:$A$404,$A82,Task!$C$5:$C$404,N($C82)-1,Task!$K$5:$K$404,"&lt;&gt;Hoàn thành",Task!$K$5:$K$404,"&lt;&gt;Không áp dụng"),0)</f>
        <v>0</v>
      </c>
    </row>
    <row r="83" customFormat="false" ht="15" hidden="false" customHeight="false" outlineLevel="0" collapsed="false">
      <c r="A83" s="19"/>
      <c r="B83" s="22"/>
      <c r="C83" s="14" t="str">
        <f aca="false">IF($B83="","",IFERROR(INDEX('Mẫu task'!$B$5:$B$64,MATCH($B83,'Mẫu task'!$A$5:$A$64,0)),""))</f>
        <v/>
      </c>
      <c r="D83" s="15" t="str">
        <f aca="false">IF($C83="","",IFERROR(INDEX('Quy trình'!$B$5:$B$12,MATCH($C83,'Quy trình'!$A$5:$A$12,0)),""))</f>
        <v/>
      </c>
      <c r="E83" s="23" t="str">
        <f aca="false">IF($B83="","",IFERROR(INDEX('Mẫu task'!$D$5:$D$64,MATCH($B83,'Mẫu task'!$A$5:$A$64,0)),""))</f>
        <v/>
      </c>
      <c r="F83" s="23" t="str">
        <f aca="false">IF($B83="","",IFERROR(INDEX('Mẫu task'!$E$5:$E$64,MATCH($B83,'Mẫu task'!$A$5:$A$64,0)),""))</f>
        <v/>
      </c>
      <c r="G83" s="19"/>
      <c r="H83" s="20"/>
      <c r="I83" s="14" t="str">
        <f aca="false">IF($B83="","",IFERROR(INDEX('Mẫu task'!$H$5:$H$64,MATCH($B83,'Mẫu task'!$A$5:$A$64,0)),""))</f>
        <v/>
      </c>
      <c r="J83" s="24" t="str">
        <f aca="false">IF(OR($H83="",$I83=""),"",$H83+$I83)</f>
        <v/>
      </c>
      <c r="K83" s="22"/>
      <c r="L83" s="20"/>
      <c r="M83" s="14" t="str">
        <f aca="true">IF($B83="","",IF($K83="Hoàn thành","Xong",IF($K83="Không áp dụng","—",IF($K83="Bị chặn","Bị chặn",IF($O83=1,"TRỄ "&amp;(TODAY()-$J83)&amp;" ngày",IF(AND($K83="Đang làm",$P83&gt;0),"Bước trước chưa xong",IF(AND($J83&lt;&gt;"",N($J83)-TODAY()&lt;=3),"Sắp đến hạn",IF($K83="Đang làm","Đang làm","Chưa bắt đầu"))))))))</f>
        <v/>
      </c>
      <c r="N83" s="25"/>
      <c r="O83" s="26" t="n">
        <f aca="true">IF(AND($B83&lt;&gt;"",$K83&lt;&gt;"Hoàn thành",$K83&lt;&gt;"Không áp dụng",$J83&lt;&gt;""),IF($J83&lt;TODAY(),1,0),0)</f>
        <v>0</v>
      </c>
      <c r="P83" s="26" t="n">
        <f aca="false">IF(AND($B83&lt;&gt;"",$C83&lt;&gt;"",N($C83)&gt;1),COUNTIFS(Task!$A$5:$A$404,$A83,Task!$C$5:$C$404,N($C83)-1,Task!$K$5:$K$404,"&lt;&gt;Hoàn thành",Task!$K$5:$K$404,"&lt;&gt;Không áp dụng"),0)</f>
        <v>0</v>
      </c>
    </row>
    <row r="84" customFormat="false" ht="15" hidden="false" customHeight="false" outlineLevel="0" collapsed="false">
      <c r="A84" s="19"/>
      <c r="B84" s="22"/>
      <c r="C84" s="14" t="str">
        <f aca="false">IF($B84="","",IFERROR(INDEX('Mẫu task'!$B$5:$B$64,MATCH($B84,'Mẫu task'!$A$5:$A$64,0)),""))</f>
        <v/>
      </c>
      <c r="D84" s="15" t="str">
        <f aca="false">IF($C84="","",IFERROR(INDEX('Quy trình'!$B$5:$B$12,MATCH($C84,'Quy trình'!$A$5:$A$12,0)),""))</f>
        <v/>
      </c>
      <c r="E84" s="23" t="str">
        <f aca="false">IF($B84="","",IFERROR(INDEX('Mẫu task'!$D$5:$D$64,MATCH($B84,'Mẫu task'!$A$5:$A$64,0)),""))</f>
        <v/>
      </c>
      <c r="F84" s="23" t="str">
        <f aca="false">IF($B84="","",IFERROR(INDEX('Mẫu task'!$E$5:$E$64,MATCH($B84,'Mẫu task'!$A$5:$A$64,0)),""))</f>
        <v/>
      </c>
      <c r="G84" s="19"/>
      <c r="H84" s="20"/>
      <c r="I84" s="14" t="str">
        <f aca="false">IF($B84="","",IFERROR(INDEX('Mẫu task'!$H$5:$H$64,MATCH($B84,'Mẫu task'!$A$5:$A$64,0)),""))</f>
        <v/>
      </c>
      <c r="J84" s="24" t="str">
        <f aca="false">IF(OR($H84="",$I84=""),"",$H84+$I84)</f>
        <v/>
      </c>
      <c r="K84" s="22"/>
      <c r="L84" s="20"/>
      <c r="M84" s="14" t="str">
        <f aca="true">IF($B84="","",IF($K84="Hoàn thành","Xong",IF($K84="Không áp dụng","—",IF($K84="Bị chặn","Bị chặn",IF($O84=1,"TRỄ "&amp;(TODAY()-$J84)&amp;" ngày",IF(AND($K84="Đang làm",$P84&gt;0),"Bước trước chưa xong",IF(AND($J84&lt;&gt;"",N($J84)-TODAY()&lt;=3),"Sắp đến hạn",IF($K84="Đang làm","Đang làm","Chưa bắt đầu"))))))))</f>
        <v/>
      </c>
      <c r="N84" s="25"/>
      <c r="O84" s="26" t="n">
        <f aca="true">IF(AND($B84&lt;&gt;"",$K84&lt;&gt;"Hoàn thành",$K84&lt;&gt;"Không áp dụng",$J84&lt;&gt;""),IF($J84&lt;TODAY(),1,0),0)</f>
        <v>0</v>
      </c>
      <c r="P84" s="26" t="n">
        <f aca="false">IF(AND($B84&lt;&gt;"",$C84&lt;&gt;"",N($C84)&gt;1),COUNTIFS(Task!$A$5:$A$404,$A84,Task!$C$5:$C$404,N($C84)-1,Task!$K$5:$K$404,"&lt;&gt;Hoàn thành",Task!$K$5:$K$404,"&lt;&gt;Không áp dụng"),0)</f>
        <v>0</v>
      </c>
    </row>
    <row r="85" customFormat="false" ht="15" hidden="false" customHeight="false" outlineLevel="0" collapsed="false">
      <c r="A85" s="19"/>
      <c r="B85" s="22"/>
      <c r="C85" s="14" t="str">
        <f aca="false">IF($B85="","",IFERROR(INDEX('Mẫu task'!$B$5:$B$64,MATCH($B85,'Mẫu task'!$A$5:$A$64,0)),""))</f>
        <v/>
      </c>
      <c r="D85" s="15" t="str">
        <f aca="false">IF($C85="","",IFERROR(INDEX('Quy trình'!$B$5:$B$12,MATCH($C85,'Quy trình'!$A$5:$A$12,0)),""))</f>
        <v/>
      </c>
      <c r="E85" s="23" t="str">
        <f aca="false">IF($B85="","",IFERROR(INDEX('Mẫu task'!$D$5:$D$64,MATCH($B85,'Mẫu task'!$A$5:$A$64,0)),""))</f>
        <v/>
      </c>
      <c r="F85" s="23" t="str">
        <f aca="false">IF($B85="","",IFERROR(INDEX('Mẫu task'!$E$5:$E$64,MATCH($B85,'Mẫu task'!$A$5:$A$64,0)),""))</f>
        <v/>
      </c>
      <c r="G85" s="19"/>
      <c r="H85" s="20"/>
      <c r="I85" s="14" t="str">
        <f aca="false">IF($B85="","",IFERROR(INDEX('Mẫu task'!$H$5:$H$64,MATCH($B85,'Mẫu task'!$A$5:$A$64,0)),""))</f>
        <v/>
      </c>
      <c r="J85" s="24" t="str">
        <f aca="false">IF(OR($H85="",$I85=""),"",$H85+$I85)</f>
        <v/>
      </c>
      <c r="K85" s="22"/>
      <c r="L85" s="20"/>
      <c r="M85" s="14" t="str">
        <f aca="true">IF($B85="","",IF($K85="Hoàn thành","Xong",IF($K85="Không áp dụng","—",IF($K85="Bị chặn","Bị chặn",IF($O85=1,"TRỄ "&amp;(TODAY()-$J85)&amp;" ngày",IF(AND($K85="Đang làm",$P85&gt;0),"Bước trước chưa xong",IF(AND($J85&lt;&gt;"",N($J85)-TODAY()&lt;=3),"Sắp đến hạn",IF($K85="Đang làm","Đang làm","Chưa bắt đầu"))))))))</f>
        <v/>
      </c>
      <c r="N85" s="25"/>
      <c r="O85" s="26" t="n">
        <f aca="true">IF(AND($B85&lt;&gt;"",$K85&lt;&gt;"Hoàn thành",$K85&lt;&gt;"Không áp dụng",$J85&lt;&gt;""),IF($J85&lt;TODAY(),1,0),0)</f>
        <v>0</v>
      </c>
      <c r="P85" s="26" t="n">
        <f aca="false">IF(AND($B85&lt;&gt;"",$C85&lt;&gt;"",N($C85)&gt;1),COUNTIFS(Task!$A$5:$A$404,$A85,Task!$C$5:$C$404,N($C85)-1,Task!$K$5:$K$404,"&lt;&gt;Hoàn thành",Task!$K$5:$K$404,"&lt;&gt;Không áp dụng"),0)</f>
        <v>0</v>
      </c>
    </row>
    <row r="86" customFormat="false" ht="15" hidden="false" customHeight="false" outlineLevel="0" collapsed="false">
      <c r="A86" s="19"/>
      <c r="B86" s="22"/>
      <c r="C86" s="14" t="str">
        <f aca="false">IF($B86="","",IFERROR(INDEX('Mẫu task'!$B$5:$B$64,MATCH($B86,'Mẫu task'!$A$5:$A$64,0)),""))</f>
        <v/>
      </c>
      <c r="D86" s="15" t="str">
        <f aca="false">IF($C86="","",IFERROR(INDEX('Quy trình'!$B$5:$B$12,MATCH($C86,'Quy trình'!$A$5:$A$12,0)),""))</f>
        <v/>
      </c>
      <c r="E86" s="23" t="str">
        <f aca="false">IF($B86="","",IFERROR(INDEX('Mẫu task'!$D$5:$D$64,MATCH($B86,'Mẫu task'!$A$5:$A$64,0)),""))</f>
        <v/>
      </c>
      <c r="F86" s="23" t="str">
        <f aca="false">IF($B86="","",IFERROR(INDEX('Mẫu task'!$E$5:$E$64,MATCH($B86,'Mẫu task'!$A$5:$A$64,0)),""))</f>
        <v/>
      </c>
      <c r="G86" s="19"/>
      <c r="H86" s="20"/>
      <c r="I86" s="14" t="str">
        <f aca="false">IF($B86="","",IFERROR(INDEX('Mẫu task'!$H$5:$H$64,MATCH($B86,'Mẫu task'!$A$5:$A$64,0)),""))</f>
        <v/>
      </c>
      <c r="J86" s="24" t="str">
        <f aca="false">IF(OR($H86="",$I86=""),"",$H86+$I86)</f>
        <v/>
      </c>
      <c r="K86" s="22"/>
      <c r="L86" s="20"/>
      <c r="M86" s="14" t="str">
        <f aca="true">IF($B86="","",IF($K86="Hoàn thành","Xong",IF($K86="Không áp dụng","—",IF($K86="Bị chặn","Bị chặn",IF($O86=1,"TRỄ "&amp;(TODAY()-$J86)&amp;" ngày",IF(AND($K86="Đang làm",$P86&gt;0),"Bước trước chưa xong",IF(AND($J86&lt;&gt;"",N($J86)-TODAY()&lt;=3),"Sắp đến hạn",IF($K86="Đang làm","Đang làm","Chưa bắt đầu"))))))))</f>
        <v/>
      </c>
      <c r="N86" s="25"/>
      <c r="O86" s="26" t="n">
        <f aca="true">IF(AND($B86&lt;&gt;"",$K86&lt;&gt;"Hoàn thành",$K86&lt;&gt;"Không áp dụng",$J86&lt;&gt;""),IF($J86&lt;TODAY(),1,0),0)</f>
        <v>0</v>
      </c>
      <c r="P86" s="26" t="n">
        <f aca="false">IF(AND($B86&lt;&gt;"",$C86&lt;&gt;"",N($C86)&gt;1),COUNTIFS(Task!$A$5:$A$404,$A86,Task!$C$5:$C$404,N($C86)-1,Task!$K$5:$K$404,"&lt;&gt;Hoàn thành",Task!$K$5:$K$404,"&lt;&gt;Không áp dụng"),0)</f>
        <v>0</v>
      </c>
    </row>
    <row r="87" customFormat="false" ht="15" hidden="false" customHeight="false" outlineLevel="0" collapsed="false">
      <c r="A87" s="19"/>
      <c r="B87" s="22"/>
      <c r="C87" s="14" t="str">
        <f aca="false">IF($B87="","",IFERROR(INDEX('Mẫu task'!$B$5:$B$64,MATCH($B87,'Mẫu task'!$A$5:$A$64,0)),""))</f>
        <v/>
      </c>
      <c r="D87" s="15" t="str">
        <f aca="false">IF($C87="","",IFERROR(INDEX('Quy trình'!$B$5:$B$12,MATCH($C87,'Quy trình'!$A$5:$A$12,0)),""))</f>
        <v/>
      </c>
      <c r="E87" s="23" t="str">
        <f aca="false">IF($B87="","",IFERROR(INDEX('Mẫu task'!$D$5:$D$64,MATCH($B87,'Mẫu task'!$A$5:$A$64,0)),""))</f>
        <v/>
      </c>
      <c r="F87" s="23" t="str">
        <f aca="false">IF($B87="","",IFERROR(INDEX('Mẫu task'!$E$5:$E$64,MATCH($B87,'Mẫu task'!$A$5:$A$64,0)),""))</f>
        <v/>
      </c>
      <c r="G87" s="19"/>
      <c r="H87" s="20"/>
      <c r="I87" s="14" t="str">
        <f aca="false">IF($B87="","",IFERROR(INDEX('Mẫu task'!$H$5:$H$64,MATCH($B87,'Mẫu task'!$A$5:$A$64,0)),""))</f>
        <v/>
      </c>
      <c r="J87" s="24" t="str">
        <f aca="false">IF(OR($H87="",$I87=""),"",$H87+$I87)</f>
        <v/>
      </c>
      <c r="K87" s="22"/>
      <c r="L87" s="20"/>
      <c r="M87" s="14" t="str">
        <f aca="true">IF($B87="","",IF($K87="Hoàn thành","Xong",IF($K87="Không áp dụng","—",IF($K87="Bị chặn","Bị chặn",IF($O87=1,"TRỄ "&amp;(TODAY()-$J87)&amp;" ngày",IF(AND($K87="Đang làm",$P87&gt;0),"Bước trước chưa xong",IF(AND($J87&lt;&gt;"",N($J87)-TODAY()&lt;=3),"Sắp đến hạn",IF($K87="Đang làm","Đang làm","Chưa bắt đầu"))))))))</f>
        <v/>
      </c>
      <c r="N87" s="25"/>
      <c r="O87" s="26" t="n">
        <f aca="true">IF(AND($B87&lt;&gt;"",$K87&lt;&gt;"Hoàn thành",$K87&lt;&gt;"Không áp dụng",$J87&lt;&gt;""),IF($J87&lt;TODAY(),1,0),0)</f>
        <v>0</v>
      </c>
      <c r="P87" s="26" t="n">
        <f aca="false">IF(AND($B87&lt;&gt;"",$C87&lt;&gt;"",N($C87)&gt;1),COUNTIFS(Task!$A$5:$A$404,$A87,Task!$C$5:$C$404,N($C87)-1,Task!$K$5:$K$404,"&lt;&gt;Hoàn thành",Task!$K$5:$K$404,"&lt;&gt;Không áp dụng"),0)</f>
        <v>0</v>
      </c>
    </row>
    <row r="88" customFormat="false" ht="15" hidden="false" customHeight="false" outlineLevel="0" collapsed="false">
      <c r="A88" s="19"/>
      <c r="B88" s="22"/>
      <c r="C88" s="14" t="str">
        <f aca="false">IF($B88="","",IFERROR(INDEX('Mẫu task'!$B$5:$B$64,MATCH($B88,'Mẫu task'!$A$5:$A$64,0)),""))</f>
        <v/>
      </c>
      <c r="D88" s="15" t="str">
        <f aca="false">IF($C88="","",IFERROR(INDEX('Quy trình'!$B$5:$B$12,MATCH($C88,'Quy trình'!$A$5:$A$12,0)),""))</f>
        <v/>
      </c>
      <c r="E88" s="23" t="str">
        <f aca="false">IF($B88="","",IFERROR(INDEX('Mẫu task'!$D$5:$D$64,MATCH($B88,'Mẫu task'!$A$5:$A$64,0)),""))</f>
        <v/>
      </c>
      <c r="F88" s="23" t="str">
        <f aca="false">IF($B88="","",IFERROR(INDEX('Mẫu task'!$E$5:$E$64,MATCH($B88,'Mẫu task'!$A$5:$A$64,0)),""))</f>
        <v/>
      </c>
      <c r="G88" s="19"/>
      <c r="H88" s="20"/>
      <c r="I88" s="14" t="str">
        <f aca="false">IF($B88="","",IFERROR(INDEX('Mẫu task'!$H$5:$H$64,MATCH($B88,'Mẫu task'!$A$5:$A$64,0)),""))</f>
        <v/>
      </c>
      <c r="J88" s="24" t="str">
        <f aca="false">IF(OR($H88="",$I88=""),"",$H88+$I88)</f>
        <v/>
      </c>
      <c r="K88" s="22"/>
      <c r="L88" s="20"/>
      <c r="M88" s="14" t="str">
        <f aca="true">IF($B88="","",IF($K88="Hoàn thành","Xong",IF($K88="Không áp dụng","—",IF($K88="Bị chặn","Bị chặn",IF($O88=1,"TRỄ "&amp;(TODAY()-$J88)&amp;" ngày",IF(AND($K88="Đang làm",$P88&gt;0),"Bước trước chưa xong",IF(AND($J88&lt;&gt;"",N($J88)-TODAY()&lt;=3),"Sắp đến hạn",IF($K88="Đang làm","Đang làm","Chưa bắt đầu"))))))))</f>
        <v/>
      </c>
      <c r="N88" s="25"/>
      <c r="O88" s="26" t="n">
        <f aca="true">IF(AND($B88&lt;&gt;"",$K88&lt;&gt;"Hoàn thành",$K88&lt;&gt;"Không áp dụng",$J88&lt;&gt;""),IF($J88&lt;TODAY(),1,0),0)</f>
        <v>0</v>
      </c>
      <c r="P88" s="26" t="n">
        <f aca="false">IF(AND($B88&lt;&gt;"",$C88&lt;&gt;"",N($C88)&gt;1),COUNTIFS(Task!$A$5:$A$404,$A88,Task!$C$5:$C$404,N($C88)-1,Task!$K$5:$K$404,"&lt;&gt;Hoàn thành",Task!$K$5:$K$404,"&lt;&gt;Không áp dụng"),0)</f>
        <v>0</v>
      </c>
    </row>
    <row r="89" customFormat="false" ht="15" hidden="false" customHeight="false" outlineLevel="0" collapsed="false">
      <c r="A89" s="19"/>
      <c r="B89" s="22"/>
      <c r="C89" s="14" t="str">
        <f aca="false">IF($B89="","",IFERROR(INDEX('Mẫu task'!$B$5:$B$64,MATCH($B89,'Mẫu task'!$A$5:$A$64,0)),""))</f>
        <v/>
      </c>
      <c r="D89" s="15" t="str">
        <f aca="false">IF($C89="","",IFERROR(INDEX('Quy trình'!$B$5:$B$12,MATCH($C89,'Quy trình'!$A$5:$A$12,0)),""))</f>
        <v/>
      </c>
      <c r="E89" s="23" t="str">
        <f aca="false">IF($B89="","",IFERROR(INDEX('Mẫu task'!$D$5:$D$64,MATCH($B89,'Mẫu task'!$A$5:$A$64,0)),""))</f>
        <v/>
      </c>
      <c r="F89" s="23" t="str">
        <f aca="false">IF($B89="","",IFERROR(INDEX('Mẫu task'!$E$5:$E$64,MATCH($B89,'Mẫu task'!$A$5:$A$64,0)),""))</f>
        <v/>
      </c>
      <c r="G89" s="19"/>
      <c r="H89" s="20"/>
      <c r="I89" s="14" t="str">
        <f aca="false">IF($B89="","",IFERROR(INDEX('Mẫu task'!$H$5:$H$64,MATCH($B89,'Mẫu task'!$A$5:$A$64,0)),""))</f>
        <v/>
      </c>
      <c r="J89" s="24" t="str">
        <f aca="false">IF(OR($H89="",$I89=""),"",$H89+$I89)</f>
        <v/>
      </c>
      <c r="K89" s="22"/>
      <c r="L89" s="20"/>
      <c r="M89" s="14" t="str">
        <f aca="true">IF($B89="","",IF($K89="Hoàn thành","Xong",IF($K89="Không áp dụng","—",IF($K89="Bị chặn","Bị chặn",IF($O89=1,"TRỄ "&amp;(TODAY()-$J89)&amp;" ngày",IF(AND($K89="Đang làm",$P89&gt;0),"Bước trước chưa xong",IF(AND($J89&lt;&gt;"",N($J89)-TODAY()&lt;=3),"Sắp đến hạn",IF($K89="Đang làm","Đang làm","Chưa bắt đầu"))))))))</f>
        <v/>
      </c>
      <c r="N89" s="25"/>
      <c r="O89" s="26" t="n">
        <f aca="true">IF(AND($B89&lt;&gt;"",$K89&lt;&gt;"Hoàn thành",$K89&lt;&gt;"Không áp dụng",$J89&lt;&gt;""),IF($J89&lt;TODAY(),1,0),0)</f>
        <v>0</v>
      </c>
      <c r="P89" s="26" t="n">
        <f aca="false">IF(AND($B89&lt;&gt;"",$C89&lt;&gt;"",N($C89)&gt;1),COUNTIFS(Task!$A$5:$A$404,$A89,Task!$C$5:$C$404,N($C89)-1,Task!$K$5:$K$404,"&lt;&gt;Hoàn thành",Task!$K$5:$K$404,"&lt;&gt;Không áp dụng"),0)</f>
        <v>0</v>
      </c>
    </row>
    <row r="90" customFormat="false" ht="15" hidden="false" customHeight="false" outlineLevel="0" collapsed="false">
      <c r="A90" s="19"/>
      <c r="B90" s="22"/>
      <c r="C90" s="14" t="str">
        <f aca="false">IF($B90="","",IFERROR(INDEX('Mẫu task'!$B$5:$B$64,MATCH($B90,'Mẫu task'!$A$5:$A$64,0)),""))</f>
        <v/>
      </c>
      <c r="D90" s="15" t="str">
        <f aca="false">IF($C90="","",IFERROR(INDEX('Quy trình'!$B$5:$B$12,MATCH($C90,'Quy trình'!$A$5:$A$12,0)),""))</f>
        <v/>
      </c>
      <c r="E90" s="23" t="str">
        <f aca="false">IF($B90="","",IFERROR(INDEX('Mẫu task'!$D$5:$D$64,MATCH($B90,'Mẫu task'!$A$5:$A$64,0)),""))</f>
        <v/>
      </c>
      <c r="F90" s="23" t="str">
        <f aca="false">IF($B90="","",IFERROR(INDEX('Mẫu task'!$E$5:$E$64,MATCH($B90,'Mẫu task'!$A$5:$A$64,0)),""))</f>
        <v/>
      </c>
      <c r="G90" s="19"/>
      <c r="H90" s="20"/>
      <c r="I90" s="14" t="str">
        <f aca="false">IF($B90="","",IFERROR(INDEX('Mẫu task'!$H$5:$H$64,MATCH($B90,'Mẫu task'!$A$5:$A$64,0)),""))</f>
        <v/>
      </c>
      <c r="J90" s="24" t="str">
        <f aca="false">IF(OR($H90="",$I90=""),"",$H90+$I90)</f>
        <v/>
      </c>
      <c r="K90" s="22"/>
      <c r="L90" s="20"/>
      <c r="M90" s="14" t="str">
        <f aca="true">IF($B90="","",IF($K90="Hoàn thành","Xong",IF($K90="Không áp dụng","—",IF($K90="Bị chặn","Bị chặn",IF($O90=1,"TRỄ "&amp;(TODAY()-$J90)&amp;" ngày",IF(AND($K90="Đang làm",$P90&gt;0),"Bước trước chưa xong",IF(AND($J90&lt;&gt;"",N($J90)-TODAY()&lt;=3),"Sắp đến hạn",IF($K90="Đang làm","Đang làm","Chưa bắt đầu"))))))))</f>
        <v/>
      </c>
      <c r="N90" s="25"/>
      <c r="O90" s="26" t="n">
        <f aca="true">IF(AND($B90&lt;&gt;"",$K90&lt;&gt;"Hoàn thành",$K90&lt;&gt;"Không áp dụng",$J90&lt;&gt;""),IF($J90&lt;TODAY(),1,0),0)</f>
        <v>0</v>
      </c>
      <c r="P90" s="26" t="n">
        <f aca="false">IF(AND($B90&lt;&gt;"",$C90&lt;&gt;"",N($C90)&gt;1),COUNTIFS(Task!$A$5:$A$404,$A90,Task!$C$5:$C$404,N($C90)-1,Task!$K$5:$K$404,"&lt;&gt;Hoàn thành",Task!$K$5:$K$404,"&lt;&gt;Không áp dụng"),0)</f>
        <v>0</v>
      </c>
    </row>
    <row r="91" customFormat="false" ht="15" hidden="false" customHeight="false" outlineLevel="0" collapsed="false">
      <c r="A91" s="19"/>
      <c r="B91" s="22"/>
      <c r="C91" s="14" t="str">
        <f aca="false">IF($B91="","",IFERROR(INDEX('Mẫu task'!$B$5:$B$64,MATCH($B91,'Mẫu task'!$A$5:$A$64,0)),""))</f>
        <v/>
      </c>
      <c r="D91" s="15" t="str">
        <f aca="false">IF($C91="","",IFERROR(INDEX('Quy trình'!$B$5:$B$12,MATCH($C91,'Quy trình'!$A$5:$A$12,0)),""))</f>
        <v/>
      </c>
      <c r="E91" s="23" t="str">
        <f aca="false">IF($B91="","",IFERROR(INDEX('Mẫu task'!$D$5:$D$64,MATCH($B91,'Mẫu task'!$A$5:$A$64,0)),""))</f>
        <v/>
      </c>
      <c r="F91" s="23" t="str">
        <f aca="false">IF($B91="","",IFERROR(INDEX('Mẫu task'!$E$5:$E$64,MATCH($B91,'Mẫu task'!$A$5:$A$64,0)),""))</f>
        <v/>
      </c>
      <c r="G91" s="19"/>
      <c r="H91" s="20"/>
      <c r="I91" s="14" t="str">
        <f aca="false">IF($B91="","",IFERROR(INDEX('Mẫu task'!$H$5:$H$64,MATCH($B91,'Mẫu task'!$A$5:$A$64,0)),""))</f>
        <v/>
      </c>
      <c r="J91" s="24" t="str">
        <f aca="false">IF(OR($H91="",$I91=""),"",$H91+$I91)</f>
        <v/>
      </c>
      <c r="K91" s="22"/>
      <c r="L91" s="20"/>
      <c r="M91" s="14" t="str">
        <f aca="true">IF($B91="","",IF($K91="Hoàn thành","Xong",IF($K91="Không áp dụng","—",IF($K91="Bị chặn","Bị chặn",IF($O91=1,"TRỄ "&amp;(TODAY()-$J91)&amp;" ngày",IF(AND($K91="Đang làm",$P91&gt;0),"Bước trước chưa xong",IF(AND($J91&lt;&gt;"",N($J91)-TODAY()&lt;=3),"Sắp đến hạn",IF($K91="Đang làm","Đang làm","Chưa bắt đầu"))))))))</f>
        <v/>
      </c>
      <c r="N91" s="25"/>
      <c r="O91" s="26" t="n">
        <f aca="true">IF(AND($B91&lt;&gt;"",$K91&lt;&gt;"Hoàn thành",$K91&lt;&gt;"Không áp dụng",$J91&lt;&gt;""),IF($J91&lt;TODAY(),1,0),0)</f>
        <v>0</v>
      </c>
      <c r="P91" s="26" t="n">
        <f aca="false">IF(AND($B91&lt;&gt;"",$C91&lt;&gt;"",N($C91)&gt;1),COUNTIFS(Task!$A$5:$A$404,$A91,Task!$C$5:$C$404,N($C91)-1,Task!$K$5:$K$404,"&lt;&gt;Hoàn thành",Task!$K$5:$K$404,"&lt;&gt;Không áp dụng"),0)</f>
        <v>0</v>
      </c>
    </row>
    <row r="92" customFormat="false" ht="15" hidden="false" customHeight="false" outlineLevel="0" collapsed="false">
      <c r="A92" s="19"/>
      <c r="B92" s="22"/>
      <c r="C92" s="14" t="str">
        <f aca="false">IF($B92="","",IFERROR(INDEX('Mẫu task'!$B$5:$B$64,MATCH($B92,'Mẫu task'!$A$5:$A$64,0)),""))</f>
        <v/>
      </c>
      <c r="D92" s="15" t="str">
        <f aca="false">IF($C92="","",IFERROR(INDEX('Quy trình'!$B$5:$B$12,MATCH($C92,'Quy trình'!$A$5:$A$12,0)),""))</f>
        <v/>
      </c>
      <c r="E92" s="23" t="str">
        <f aca="false">IF($B92="","",IFERROR(INDEX('Mẫu task'!$D$5:$D$64,MATCH($B92,'Mẫu task'!$A$5:$A$64,0)),""))</f>
        <v/>
      </c>
      <c r="F92" s="23" t="str">
        <f aca="false">IF($B92="","",IFERROR(INDEX('Mẫu task'!$E$5:$E$64,MATCH($B92,'Mẫu task'!$A$5:$A$64,0)),""))</f>
        <v/>
      </c>
      <c r="G92" s="19"/>
      <c r="H92" s="20"/>
      <c r="I92" s="14" t="str">
        <f aca="false">IF($B92="","",IFERROR(INDEX('Mẫu task'!$H$5:$H$64,MATCH($B92,'Mẫu task'!$A$5:$A$64,0)),""))</f>
        <v/>
      </c>
      <c r="J92" s="24" t="str">
        <f aca="false">IF(OR($H92="",$I92=""),"",$H92+$I92)</f>
        <v/>
      </c>
      <c r="K92" s="22"/>
      <c r="L92" s="20"/>
      <c r="M92" s="14" t="str">
        <f aca="true">IF($B92="","",IF($K92="Hoàn thành","Xong",IF($K92="Không áp dụng","—",IF($K92="Bị chặn","Bị chặn",IF($O92=1,"TRỄ "&amp;(TODAY()-$J92)&amp;" ngày",IF(AND($K92="Đang làm",$P92&gt;0),"Bước trước chưa xong",IF(AND($J92&lt;&gt;"",N($J92)-TODAY()&lt;=3),"Sắp đến hạn",IF($K92="Đang làm","Đang làm","Chưa bắt đầu"))))))))</f>
        <v/>
      </c>
      <c r="N92" s="25"/>
      <c r="O92" s="26" t="n">
        <f aca="true">IF(AND($B92&lt;&gt;"",$K92&lt;&gt;"Hoàn thành",$K92&lt;&gt;"Không áp dụng",$J92&lt;&gt;""),IF($J92&lt;TODAY(),1,0),0)</f>
        <v>0</v>
      </c>
      <c r="P92" s="26" t="n">
        <f aca="false">IF(AND($B92&lt;&gt;"",$C92&lt;&gt;"",N($C92)&gt;1),COUNTIFS(Task!$A$5:$A$404,$A92,Task!$C$5:$C$404,N($C92)-1,Task!$K$5:$K$404,"&lt;&gt;Hoàn thành",Task!$K$5:$K$404,"&lt;&gt;Không áp dụng"),0)</f>
        <v>0</v>
      </c>
    </row>
    <row r="93" customFormat="false" ht="15" hidden="false" customHeight="false" outlineLevel="0" collapsed="false">
      <c r="A93" s="19"/>
      <c r="B93" s="22"/>
      <c r="C93" s="14" t="str">
        <f aca="false">IF($B93="","",IFERROR(INDEX('Mẫu task'!$B$5:$B$64,MATCH($B93,'Mẫu task'!$A$5:$A$64,0)),""))</f>
        <v/>
      </c>
      <c r="D93" s="15" t="str">
        <f aca="false">IF($C93="","",IFERROR(INDEX('Quy trình'!$B$5:$B$12,MATCH($C93,'Quy trình'!$A$5:$A$12,0)),""))</f>
        <v/>
      </c>
      <c r="E93" s="23" t="str">
        <f aca="false">IF($B93="","",IFERROR(INDEX('Mẫu task'!$D$5:$D$64,MATCH($B93,'Mẫu task'!$A$5:$A$64,0)),""))</f>
        <v/>
      </c>
      <c r="F93" s="23" t="str">
        <f aca="false">IF($B93="","",IFERROR(INDEX('Mẫu task'!$E$5:$E$64,MATCH($B93,'Mẫu task'!$A$5:$A$64,0)),""))</f>
        <v/>
      </c>
      <c r="G93" s="19"/>
      <c r="H93" s="20"/>
      <c r="I93" s="14" t="str">
        <f aca="false">IF($B93="","",IFERROR(INDEX('Mẫu task'!$H$5:$H$64,MATCH($B93,'Mẫu task'!$A$5:$A$64,0)),""))</f>
        <v/>
      </c>
      <c r="J93" s="24" t="str">
        <f aca="false">IF(OR($H93="",$I93=""),"",$H93+$I93)</f>
        <v/>
      </c>
      <c r="K93" s="22"/>
      <c r="L93" s="20"/>
      <c r="M93" s="14" t="str">
        <f aca="true">IF($B93="","",IF($K93="Hoàn thành","Xong",IF($K93="Không áp dụng","—",IF($K93="Bị chặn","Bị chặn",IF($O93=1,"TRỄ "&amp;(TODAY()-$J93)&amp;" ngày",IF(AND($K93="Đang làm",$P93&gt;0),"Bước trước chưa xong",IF(AND($J93&lt;&gt;"",N($J93)-TODAY()&lt;=3),"Sắp đến hạn",IF($K93="Đang làm","Đang làm","Chưa bắt đầu"))))))))</f>
        <v/>
      </c>
      <c r="N93" s="25"/>
      <c r="O93" s="26" t="n">
        <f aca="true">IF(AND($B93&lt;&gt;"",$K93&lt;&gt;"Hoàn thành",$K93&lt;&gt;"Không áp dụng",$J93&lt;&gt;""),IF($J93&lt;TODAY(),1,0),0)</f>
        <v>0</v>
      </c>
      <c r="P93" s="26" t="n">
        <f aca="false">IF(AND($B93&lt;&gt;"",$C93&lt;&gt;"",N($C93)&gt;1),COUNTIFS(Task!$A$5:$A$404,$A93,Task!$C$5:$C$404,N($C93)-1,Task!$K$5:$K$404,"&lt;&gt;Hoàn thành",Task!$K$5:$K$404,"&lt;&gt;Không áp dụng"),0)</f>
        <v>0</v>
      </c>
    </row>
    <row r="94" customFormat="false" ht="15" hidden="false" customHeight="false" outlineLevel="0" collapsed="false">
      <c r="A94" s="19"/>
      <c r="B94" s="22"/>
      <c r="C94" s="14" t="str">
        <f aca="false">IF($B94="","",IFERROR(INDEX('Mẫu task'!$B$5:$B$64,MATCH($B94,'Mẫu task'!$A$5:$A$64,0)),""))</f>
        <v/>
      </c>
      <c r="D94" s="15" t="str">
        <f aca="false">IF($C94="","",IFERROR(INDEX('Quy trình'!$B$5:$B$12,MATCH($C94,'Quy trình'!$A$5:$A$12,0)),""))</f>
        <v/>
      </c>
      <c r="E94" s="23" t="str">
        <f aca="false">IF($B94="","",IFERROR(INDEX('Mẫu task'!$D$5:$D$64,MATCH($B94,'Mẫu task'!$A$5:$A$64,0)),""))</f>
        <v/>
      </c>
      <c r="F94" s="23" t="str">
        <f aca="false">IF($B94="","",IFERROR(INDEX('Mẫu task'!$E$5:$E$64,MATCH($B94,'Mẫu task'!$A$5:$A$64,0)),""))</f>
        <v/>
      </c>
      <c r="G94" s="19"/>
      <c r="H94" s="20"/>
      <c r="I94" s="14" t="str">
        <f aca="false">IF($B94="","",IFERROR(INDEX('Mẫu task'!$H$5:$H$64,MATCH($B94,'Mẫu task'!$A$5:$A$64,0)),""))</f>
        <v/>
      </c>
      <c r="J94" s="24" t="str">
        <f aca="false">IF(OR($H94="",$I94=""),"",$H94+$I94)</f>
        <v/>
      </c>
      <c r="K94" s="22"/>
      <c r="L94" s="20"/>
      <c r="M94" s="14" t="str">
        <f aca="true">IF($B94="","",IF($K94="Hoàn thành","Xong",IF($K94="Không áp dụng","—",IF($K94="Bị chặn","Bị chặn",IF($O94=1,"TRỄ "&amp;(TODAY()-$J94)&amp;" ngày",IF(AND($K94="Đang làm",$P94&gt;0),"Bước trước chưa xong",IF(AND($J94&lt;&gt;"",N($J94)-TODAY()&lt;=3),"Sắp đến hạn",IF($K94="Đang làm","Đang làm","Chưa bắt đầu"))))))))</f>
        <v/>
      </c>
      <c r="N94" s="25"/>
      <c r="O94" s="26" t="n">
        <f aca="true">IF(AND($B94&lt;&gt;"",$K94&lt;&gt;"Hoàn thành",$K94&lt;&gt;"Không áp dụng",$J94&lt;&gt;""),IF($J94&lt;TODAY(),1,0),0)</f>
        <v>0</v>
      </c>
      <c r="P94" s="26" t="n">
        <f aca="false">IF(AND($B94&lt;&gt;"",$C94&lt;&gt;"",N($C94)&gt;1),COUNTIFS(Task!$A$5:$A$404,$A94,Task!$C$5:$C$404,N($C94)-1,Task!$K$5:$K$404,"&lt;&gt;Hoàn thành",Task!$K$5:$K$404,"&lt;&gt;Không áp dụng"),0)</f>
        <v>0</v>
      </c>
    </row>
    <row r="95" customFormat="false" ht="15" hidden="false" customHeight="false" outlineLevel="0" collapsed="false">
      <c r="A95" s="19"/>
      <c r="B95" s="22"/>
      <c r="C95" s="14" t="str">
        <f aca="false">IF($B95="","",IFERROR(INDEX('Mẫu task'!$B$5:$B$64,MATCH($B95,'Mẫu task'!$A$5:$A$64,0)),""))</f>
        <v/>
      </c>
      <c r="D95" s="15" t="str">
        <f aca="false">IF($C95="","",IFERROR(INDEX('Quy trình'!$B$5:$B$12,MATCH($C95,'Quy trình'!$A$5:$A$12,0)),""))</f>
        <v/>
      </c>
      <c r="E95" s="23" t="str">
        <f aca="false">IF($B95="","",IFERROR(INDEX('Mẫu task'!$D$5:$D$64,MATCH($B95,'Mẫu task'!$A$5:$A$64,0)),""))</f>
        <v/>
      </c>
      <c r="F95" s="23" t="str">
        <f aca="false">IF($B95="","",IFERROR(INDEX('Mẫu task'!$E$5:$E$64,MATCH($B95,'Mẫu task'!$A$5:$A$64,0)),""))</f>
        <v/>
      </c>
      <c r="G95" s="19"/>
      <c r="H95" s="20"/>
      <c r="I95" s="14" t="str">
        <f aca="false">IF($B95="","",IFERROR(INDEX('Mẫu task'!$H$5:$H$64,MATCH($B95,'Mẫu task'!$A$5:$A$64,0)),""))</f>
        <v/>
      </c>
      <c r="J95" s="24" t="str">
        <f aca="false">IF(OR($H95="",$I95=""),"",$H95+$I95)</f>
        <v/>
      </c>
      <c r="K95" s="22"/>
      <c r="L95" s="20"/>
      <c r="M95" s="14" t="str">
        <f aca="true">IF($B95="","",IF($K95="Hoàn thành","Xong",IF($K95="Không áp dụng","—",IF($K95="Bị chặn","Bị chặn",IF($O95=1,"TRỄ "&amp;(TODAY()-$J95)&amp;" ngày",IF(AND($K95="Đang làm",$P95&gt;0),"Bước trước chưa xong",IF(AND($J95&lt;&gt;"",N($J95)-TODAY()&lt;=3),"Sắp đến hạn",IF($K95="Đang làm","Đang làm","Chưa bắt đầu"))))))))</f>
        <v/>
      </c>
      <c r="N95" s="25"/>
      <c r="O95" s="26" t="n">
        <f aca="true">IF(AND($B95&lt;&gt;"",$K95&lt;&gt;"Hoàn thành",$K95&lt;&gt;"Không áp dụng",$J95&lt;&gt;""),IF($J95&lt;TODAY(),1,0),0)</f>
        <v>0</v>
      </c>
      <c r="P95" s="26" t="n">
        <f aca="false">IF(AND($B95&lt;&gt;"",$C95&lt;&gt;"",N($C95)&gt;1),COUNTIFS(Task!$A$5:$A$404,$A95,Task!$C$5:$C$404,N($C95)-1,Task!$K$5:$K$404,"&lt;&gt;Hoàn thành",Task!$K$5:$K$404,"&lt;&gt;Không áp dụng"),0)</f>
        <v>0</v>
      </c>
    </row>
    <row r="96" customFormat="false" ht="15" hidden="false" customHeight="false" outlineLevel="0" collapsed="false">
      <c r="A96" s="19"/>
      <c r="B96" s="22"/>
      <c r="C96" s="14" t="str">
        <f aca="false">IF($B96="","",IFERROR(INDEX('Mẫu task'!$B$5:$B$64,MATCH($B96,'Mẫu task'!$A$5:$A$64,0)),""))</f>
        <v/>
      </c>
      <c r="D96" s="15" t="str">
        <f aca="false">IF($C96="","",IFERROR(INDEX('Quy trình'!$B$5:$B$12,MATCH($C96,'Quy trình'!$A$5:$A$12,0)),""))</f>
        <v/>
      </c>
      <c r="E96" s="23" t="str">
        <f aca="false">IF($B96="","",IFERROR(INDEX('Mẫu task'!$D$5:$D$64,MATCH($B96,'Mẫu task'!$A$5:$A$64,0)),""))</f>
        <v/>
      </c>
      <c r="F96" s="23" t="str">
        <f aca="false">IF($B96="","",IFERROR(INDEX('Mẫu task'!$E$5:$E$64,MATCH($B96,'Mẫu task'!$A$5:$A$64,0)),""))</f>
        <v/>
      </c>
      <c r="G96" s="19"/>
      <c r="H96" s="20"/>
      <c r="I96" s="14" t="str">
        <f aca="false">IF($B96="","",IFERROR(INDEX('Mẫu task'!$H$5:$H$64,MATCH($B96,'Mẫu task'!$A$5:$A$64,0)),""))</f>
        <v/>
      </c>
      <c r="J96" s="24" t="str">
        <f aca="false">IF(OR($H96="",$I96=""),"",$H96+$I96)</f>
        <v/>
      </c>
      <c r="K96" s="22"/>
      <c r="L96" s="20"/>
      <c r="M96" s="14" t="str">
        <f aca="true">IF($B96="","",IF($K96="Hoàn thành","Xong",IF($K96="Không áp dụng","—",IF($K96="Bị chặn","Bị chặn",IF($O96=1,"TRỄ "&amp;(TODAY()-$J96)&amp;" ngày",IF(AND($K96="Đang làm",$P96&gt;0),"Bước trước chưa xong",IF(AND($J96&lt;&gt;"",N($J96)-TODAY()&lt;=3),"Sắp đến hạn",IF($K96="Đang làm","Đang làm","Chưa bắt đầu"))))))))</f>
        <v/>
      </c>
      <c r="N96" s="25"/>
      <c r="O96" s="26" t="n">
        <f aca="true">IF(AND($B96&lt;&gt;"",$K96&lt;&gt;"Hoàn thành",$K96&lt;&gt;"Không áp dụng",$J96&lt;&gt;""),IF($J96&lt;TODAY(),1,0),0)</f>
        <v>0</v>
      </c>
      <c r="P96" s="26" t="n">
        <f aca="false">IF(AND($B96&lt;&gt;"",$C96&lt;&gt;"",N($C96)&gt;1),COUNTIFS(Task!$A$5:$A$404,$A96,Task!$C$5:$C$404,N($C96)-1,Task!$K$5:$K$404,"&lt;&gt;Hoàn thành",Task!$K$5:$K$404,"&lt;&gt;Không áp dụng"),0)</f>
        <v>0</v>
      </c>
    </row>
    <row r="97" customFormat="false" ht="15" hidden="false" customHeight="false" outlineLevel="0" collapsed="false">
      <c r="A97" s="19"/>
      <c r="B97" s="22"/>
      <c r="C97" s="14" t="str">
        <f aca="false">IF($B97="","",IFERROR(INDEX('Mẫu task'!$B$5:$B$64,MATCH($B97,'Mẫu task'!$A$5:$A$64,0)),""))</f>
        <v/>
      </c>
      <c r="D97" s="15" t="str">
        <f aca="false">IF($C97="","",IFERROR(INDEX('Quy trình'!$B$5:$B$12,MATCH($C97,'Quy trình'!$A$5:$A$12,0)),""))</f>
        <v/>
      </c>
      <c r="E97" s="23" t="str">
        <f aca="false">IF($B97="","",IFERROR(INDEX('Mẫu task'!$D$5:$D$64,MATCH($B97,'Mẫu task'!$A$5:$A$64,0)),""))</f>
        <v/>
      </c>
      <c r="F97" s="23" t="str">
        <f aca="false">IF($B97="","",IFERROR(INDEX('Mẫu task'!$E$5:$E$64,MATCH($B97,'Mẫu task'!$A$5:$A$64,0)),""))</f>
        <v/>
      </c>
      <c r="G97" s="19"/>
      <c r="H97" s="20"/>
      <c r="I97" s="14" t="str">
        <f aca="false">IF($B97="","",IFERROR(INDEX('Mẫu task'!$H$5:$H$64,MATCH($B97,'Mẫu task'!$A$5:$A$64,0)),""))</f>
        <v/>
      </c>
      <c r="J97" s="24" t="str">
        <f aca="false">IF(OR($H97="",$I97=""),"",$H97+$I97)</f>
        <v/>
      </c>
      <c r="K97" s="22"/>
      <c r="L97" s="20"/>
      <c r="M97" s="14" t="str">
        <f aca="true">IF($B97="","",IF($K97="Hoàn thành","Xong",IF($K97="Không áp dụng","—",IF($K97="Bị chặn","Bị chặn",IF($O97=1,"TRỄ "&amp;(TODAY()-$J97)&amp;" ngày",IF(AND($K97="Đang làm",$P97&gt;0),"Bước trước chưa xong",IF(AND($J97&lt;&gt;"",N($J97)-TODAY()&lt;=3),"Sắp đến hạn",IF($K97="Đang làm","Đang làm","Chưa bắt đầu"))))))))</f>
        <v/>
      </c>
      <c r="N97" s="25"/>
      <c r="O97" s="26" t="n">
        <f aca="true">IF(AND($B97&lt;&gt;"",$K97&lt;&gt;"Hoàn thành",$K97&lt;&gt;"Không áp dụng",$J97&lt;&gt;""),IF($J97&lt;TODAY(),1,0),0)</f>
        <v>0</v>
      </c>
      <c r="P97" s="26" t="n">
        <f aca="false">IF(AND($B97&lt;&gt;"",$C97&lt;&gt;"",N($C97)&gt;1),COUNTIFS(Task!$A$5:$A$404,$A97,Task!$C$5:$C$404,N($C97)-1,Task!$K$5:$K$404,"&lt;&gt;Hoàn thành",Task!$K$5:$K$404,"&lt;&gt;Không áp dụng"),0)</f>
        <v>0</v>
      </c>
    </row>
    <row r="98" customFormat="false" ht="15" hidden="false" customHeight="false" outlineLevel="0" collapsed="false">
      <c r="A98" s="19"/>
      <c r="B98" s="22"/>
      <c r="C98" s="14" t="str">
        <f aca="false">IF($B98="","",IFERROR(INDEX('Mẫu task'!$B$5:$B$64,MATCH($B98,'Mẫu task'!$A$5:$A$64,0)),""))</f>
        <v/>
      </c>
      <c r="D98" s="15" t="str">
        <f aca="false">IF($C98="","",IFERROR(INDEX('Quy trình'!$B$5:$B$12,MATCH($C98,'Quy trình'!$A$5:$A$12,0)),""))</f>
        <v/>
      </c>
      <c r="E98" s="23" t="str">
        <f aca="false">IF($B98="","",IFERROR(INDEX('Mẫu task'!$D$5:$D$64,MATCH($B98,'Mẫu task'!$A$5:$A$64,0)),""))</f>
        <v/>
      </c>
      <c r="F98" s="23" t="str">
        <f aca="false">IF($B98="","",IFERROR(INDEX('Mẫu task'!$E$5:$E$64,MATCH($B98,'Mẫu task'!$A$5:$A$64,0)),""))</f>
        <v/>
      </c>
      <c r="G98" s="19"/>
      <c r="H98" s="20"/>
      <c r="I98" s="14" t="str">
        <f aca="false">IF($B98="","",IFERROR(INDEX('Mẫu task'!$H$5:$H$64,MATCH($B98,'Mẫu task'!$A$5:$A$64,0)),""))</f>
        <v/>
      </c>
      <c r="J98" s="24" t="str">
        <f aca="false">IF(OR($H98="",$I98=""),"",$H98+$I98)</f>
        <v/>
      </c>
      <c r="K98" s="22"/>
      <c r="L98" s="20"/>
      <c r="M98" s="14" t="str">
        <f aca="true">IF($B98="","",IF($K98="Hoàn thành","Xong",IF($K98="Không áp dụng","—",IF($K98="Bị chặn","Bị chặn",IF($O98=1,"TRỄ "&amp;(TODAY()-$J98)&amp;" ngày",IF(AND($K98="Đang làm",$P98&gt;0),"Bước trước chưa xong",IF(AND($J98&lt;&gt;"",N($J98)-TODAY()&lt;=3),"Sắp đến hạn",IF($K98="Đang làm","Đang làm","Chưa bắt đầu"))))))))</f>
        <v/>
      </c>
      <c r="N98" s="25"/>
      <c r="O98" s="26" t="n">
        <f aca="true">IF(AND($B98&lt;&gt;"",$K98&lt;&gt;"Hoàn thành",$K98&lt;&gt;"Không áp dụng",$J98&lt;&gt;""),IF($J98&lt;TODAY(),1,0),0)</f>
        <v>0</v>
      </c>
      <c r="P98" s="26" t="n">
        <f aca="false">IF(AND($B98&lt;&gt;"",$C98&lt;&gt;"",N($C98)&gt;1),COUNTIFS(Task!$A$5:$A$404,$A98,Task!$C$5:$C$404,N($C98)-1,Task!$K$5:$K$404,"&lt;&gt;Hoàn thành",Task!$K$5:$K$404,"&lt;&gt;Không áp dụng"),0)</f>
        <v>0</v>
      </c>
    </row>
    <row r="99" customFormat="false" ht="15" hidden="false" customHeight="false" outlineLevel="0" collapsed="false">
      <c r="A99" s="19"/>
      <c r="B99" s="22"/>
      <c r="C99" s="14" t="str">
        <f aca="false">IF($B99="","",IFERROR(INDEX('Mẫu task'!$B$5:$B$64,MATCH($B99,'Mẫu task'!$A$5:$A$64,0)),""))</f>
        <v/>
      </c>
      <c r="D99" s="15" t="str">
        <f aca="false">IF($C99="","",IFERROR(INDEX('Quy trình'!$B$5:$B$12,MATCH($C99,'Quy trình'!$A$5:$A$12,0)),""))</f>
        <v/>
      </c>
      <c r="E99" s="23" t="str">
        <f aca="false">IF($B99="","",IFERROR(INDEX('Mẫu task'!$D$5:$D$64,MATCH($B99,'Mẫu task'!$A$5:$A$64,0)),""))</f>
        <v/>
      </c>
      <c r="F99" s="23" t="str">
        <f aca="false">IF($B99="","",IFERROR(INDEX('Mẫu task'!$E$5:$E$64,MATCH($B99,'Mẫu task'!$A$5:$A$64,0)),""))</f>
        <v/>
      </c>
      <c r="G99" s="19"/>
      <c r="H99" s="20"/>
      <c r="I99" s="14" t="str">
        <f aca="false">IF($B99="","",IFERROR(INDEX('Mẫu task'!$H$5:$H$64,MATCH($B99,'Mẫu task'!$A$5:$A$64,0)),""))</f>
        <v/>
      </c>
      <c r="J99" s="24" t="str">
        <f aca="false">IF(OR($H99="",$I99=""),"",$H99+$I99)</f>
        <v/>
      </c>
      <c r="K99" s="22"/>
      <c r="L99" s="20"/>
      <c r="M99" s="14" t="str">
        <f aca="true">IF($B99="","",IF($K99="Hoàn thành","Xong",IF($K99="Không áp dụng","—",IF($K99="Bị chặn","Bị chặn",IF($O99=1,"TRỄ "&amp;(TODAY()-$J99)&amp;" ngày",IF(AND($K99="Đang làm",$P99&gt;0),"Bước trước chưa xong",IF(AND($J99&lt;&gt;"",N($J99)-TODAY()&lt;=3),"Sắp đến hạn",IF($K99="Đang làm","Đang làm","Chưa bắt đầu"))))))))</f>
        <v/>
      </c>
      <c r="N99" s="25"/>
      <c r="O99" s="26" t="n">
        <f aca="true">IF(AND($B99&lt;&gt;"",$K99&lt;&gt;"Hoàn thành",$K99&lt;&gt;"Không áp dụng",$J99&lt;&gt;""),IF($J99&lt;TODAY(),1,0),0)</f>
        <v>0</v>
      </c>
      <c r="P99" s="26" t="n">
        <f aca="false">IF(AND($B99&lt;&gt;"",$C99&lt;&gt;"",N($C99)&gt;1),COUNTIFS(Task!$A$5:$A$404,$A99,Task!$C$5:$C$404,N($C99)-1,Task!$K$5:$K$404,"&lt;&gt;Hoàn thành",Task!$K$5:$K$404,"&lt;&gt;Không áp dụng"),0)</f>
        <v>0</v>
      </c>
    </row>
    <row r="100" customFormat="false" ht="15" hidden="false" customHeight="false" outlineLevel="0" collapsed="false">
      <c r="A100" s="19"/>
      <c r="B100" s="22"/>
      <c r="C100" s="14" t="str">
        <f aca="false">IF($B100="","",IFERROR(INDEX('Mẫu task'!$B$5:$B$64,MATCH($B100,'Mẫu task'!$A$5:$A$64,0)),""))</f>
        <v/>
      </c>
      <c r="D100" s="15" t="str">
        <f aca="false">IF($C100="","",IFERROR(INDEX('Quy trình'!$B$5:$B$12,MATCH($C100,'Quy trình'!$A$5:$A$12,0)),""))</f>
        <v/>
      </c>
      <c r="E100" s="23" t="str">
        <f aca="false">IF($B100="","",IFERROR(INDEX('Mẫu task'!$D$5:$D$64,MATCH($B100,'Mẫu task'!$A$5:$A$64,0)),""))</f>
        <v/>
      </c>
      <c r="F100" s="23" t="str">
        <f aca="false">IF($B100="","",IFERROR(INDEX('Mẫu task'!$E$5:$E$64,MATCH($B100,'Mẫu task'!$A$5:$A$64,0)),""))</f>
        <v/>
      </c>
      <c r="G100" s="19"/>
      <c r="H100" s="20"/>
      <c r="I100" s="14" t="str">
        <f aca="false">IF($B100="","",IFERROR(INDEX('Mẫu task'!$H$5:$H$64,MATCH($B100,'Mẫu task'!$A$5:$A$64,0)),""))</f>
        <v/>
      </c>
      <c r="J100" s="24" t="str">
        <f aca="false">IF(OR($H100="",$I100=""),"",$H100+$I100)</f>
        <v/>
      </c>
      <c r="K100" s="22"/>
      <c r="L100" s="20"/>
      <c r="M100" s="14" t="str">
        <f aca="true">IF($B100="","",IF($K100="Hoàn thành","Xong",IF($K100="Không áp dụng","—",IF($K100="Bị chặn","Bị chặn",IF($O100=1,"TRỄ "&amp;(TODAY()-$J100)&amp;" ngày",IF(AND($K100="Đang làm",$P100&gt;0),"Bước trước chưa xong",IF(AND($J100&lt;&gt;"",N($J100)-TODAY()&lt;=3),"Sắp đến hạn",IF($K100="Đang làm","Đang làm","Chưa bắt đầu"))))))))</f>
        <v/>
      </c>
      <c r="N100" s="25"/>
      <c r="O100" s="26" t="n">
        <f aca="true">IF(AND($B100&lt;&gt;"",$K100&lt;&gt;"Hoàn thành",$K100&lt;&gt;"Không áp dụng",$J100&lt;&gt;""),IF($J100&lt;TODAY(),1,0),0)</f>
        <v>0</v>
      </c>
      <c r="P100" s="26" t="n">
        <f aca="false">IF(AND($B100&lt;&gt;"",$C100&lt;&gt;"",N($C100)&gt;1),COUNTIFS(Task!$A$5:$A$404,$A100,Task!$C$5:$C$404,N($C100)-1,Task!$K$5:$K$404,"&lt;&gt;Hoàn thành",Task!$K$5:$K$404,"&lt;&gt;Không áp dụng"),0)</f>
        <v>0</v>
      </c>
    </row>
    <row r="101" customFormat="false" ht="15" hidden="false" customHeight="false" outlineLevel="0" collapsed="false">
      <c r="A101" s="19"/>
      <c r="B101" s="22"/>
      <c r="C101" s="14" t="str">
        <f aca="false">IF($B101="","",IFERROR(INDEX('Mẫu task'!$B$5:$B$64,MATCH($B101,'Mẫu task'!$A$5:$A$64,0)),""))</f>
        <v/>
      </c>
      <c r="D101" s="15" t="str">
        <f aca="false">IF($C101="","",IFERROR(INDEX('Quy trình'!$B$5:$B$12,MATCH($C101,'Quy trình'!$A$5:$A$12,0)),""))</f>
        <v/>
      </c>
      <c r="E101" s="23" t="str">
        <f aca="false">IF($B101="","",IFERROR(INDEX('Mẫu task'!$D$5:$D$64,MATCH($B101,'Mẫu task'!$A$5:$A$64,0)),""))</f>
        <v/>
      </c>
      <c r="F101" s="23" t="str">
        <f aca="false">IF($B101="","",IFERROR(INDEX('Mẫu task'!$E$5:$E$64,MATCH($B101,'Mẫu task'!$A$5:$A$64,0)),""))</f>
        <v/>
      </c>
      <c r="G101" s="19"/>
      <c r="H101" s="20"/>
      <c r="I101" s="14" t="str">
        <f aca="false">IF($B101="","",IFERROR(INDEX('Mẫu task'!$H$5:$H$64,MATCH($B101,'Mẫu task'!$A$5:$A$64,0)),""))</f>
        <v/>
      </c>
      <c r="J101" s="24" t="str">
        <f aca="false">IF(OR($H101="",$I101=""),"",$H101+$I101)</f>
        <v/>
      </c>
      <c r="K101" s="22"/>
      <c r="L101" s="20"/>
      <c r="M101" s="14" t="str">
        <f aca="true">IF($B101="","",IF($K101="Hoàn thành","Xong",IF($K101="Không áp dụng","—",IF($K101="Bị chặn","Bị chặn",IF($O101=1,"TRỄ "&amp;(TODAY()-$J101)&amp;" ngày",IF(AND($K101="Đang làm",$P101&gt;0),"Bước trước chưa xong",IF(AND($J101&lt;&gt;"",N($J101)-TODAY()&lt;=3),"Sắp đến hạn",IF($K101="Đang làm","Đang làm","Chưa bắt đầu"))))))))</f>
        <v/>
      </c>
      <c r="N101" s="25"/>
      <c r="O101" s="26" t="n">
        <f aca="true">IF(AND($B101&lt;&gt;"",$K101&lt;&gt;"Hoàn thành",$K101&lt;&gt;"Không áp dụng",$J101&lt;&gt;""),IF($J101&lt;TODAY(),1,0),0)</f>
        <v>0</v>
      </c>
      <c r="P101" s="26" t="n">
        <f aca="false">IF(AND($B101&lt;&gt;"",$C101&lt;&gt;"",N($C101)&gt;1),COUNTIFS(Task!$A$5:$A$404,$A101,Task!$C$5:$C$404,N($C101)-1,Task!$K$5:$K$404,"&lt;&gt;Hoàn thành",Task!$K$5:$K$404,"&lt;&gt;Không áp dụng"),0)</f>
        <v>0</v>
      </c>
    </row>
    <row r="102" customFormat="false" ht="15" hidden="false" customHeight="false" outlineLevel="0" collapsed="false">
      <c r="A102" s="19"/>
      <c r="B102" s="22"/>
      <c r="C102" s="14" t="str">
        <f aca="false">IF($B102="","",IFERROR(INDEX('Mẫu task'!$B$5:$B$64,MATCH($B102,'Mẫu task'!$A$5:$A$64,0)),""))</f>
        <v/>
      </c>
      <c r="D102" s="15" t="str">
        <f aca="false">IF($C102="","",IFERROR(INDEX('Quy trình'!$B$5:$B$12,MATCH($C102,'Quy trình'!$A$5:$A$12,0)),""))</f>
        <v/>
      </c>
      <c r="E102" s="23" t="str">
        <f aca="false">IF($B102="","",IFERROR(INDEX('Mẫu task'!$D$5:$D$64,MATCH($B102,'Mẫu task'!$A$5:$A$64,0)),""))</f>
        <v/>
      </c>
      <c r="F102" s="23" t="str">
        <f aca="false">IF($B102="","",IFERROR(INDEX('Mẫu task'!$E$5:$E$64,MATCH($B102,'Mẫu task'!$A$5:$A$64,0)),""))</f>
        <v/>
      </c>
      <c r="G102" s="19"/>
      <c r="H102" s="20"/>
      <c r="I102" s="14" t="str">
        <f aca="false">IF($B102="","",IFERROR(INDEX('Mẫu task'!$H$5:$H$64,MATCH($B102,'Mẫu task'!$A$5:$A$64,0)),""))</f>
        <v/>
      </c>
      <c r="J102" s="24" t="str">
        <f aca="false">IF(OR($H102="",$I102=""),"",$H102+$I102)</f>
        <v/>
      </c>
      <c r="K102" s="22"/>
      <c r="L102" s="20"/>
      <c r="M102" s="14" t="str">
        <f aca="true">IF($B102="","",IF($K102="Hoàn thành","Xong",IF($K102="Không áp dụng","—",IF($K102="Bị chặn","Bị chặn",IF($O102=1,"TRỄ "&amp;(TODAY()-$J102)&amp;" ngày",IF(AND($K102="Đang làm",$P102&gt;0),"Bước trước chưa xong",IF(AND($J102&lt;&gt;"",N($J102)-TODAY()&lt;=3),"Sắp đến hạn",IF($K102="Đang làm","Đang làm","Chưa bắt đầu"))))))))</f>
        <v/>
      </c>
      <c r="N102" s="25"/>
      <c r="O102" s="26" t="n">
        <f aca="true">IF(AND($B102&lt;&gt;"",$K102&lt;&gt;"Hoàn thành",$K102&lt;&gt;"Không áp dụng",$J102&lt;&gt;""),IF($J102&lt;TODAY(),1,0),0)</f>
        <v>0</v>
      </c>
      <c r="P102" s="26" t="n">
        <f aca="false">IF(AND($B102&lt;&gt;"",$C102&lt;&gt;"",N($C102)&gt;1),COUNTIFS(Task!$A$5:$A$404,$A102,Task!$C$5:$C$404,N($C102)-1,Task!$K$5:$K$404,"&lt;&gt;Hoàn thành",Task!$K$5:$K$404,"&lt;&gt;Không áp dụng"),0)</f>
        <v>0</v>
      </c>
    </row>
    <row r="103" customFormat="false" ht="15" hidden="false" customHeight="false" outlineLevel="0" collapsed="false">
      <c r="A103" s="19"/>
      <c r="B103" s="22"/>
      <c r="C103" s="14" t="str">
        <f aca="false">IF($B103="","",IFERROR(INDEX('Mẫu task'!$B$5:$B$64,MATCH($B103,'Mẫu task'!$A$5:$A$64,0)),""))</f>
        <v/>
      </c>
      <c r="D103" s="15" t="str">
        <f aca="false">IF($C103="","",IFERROR(INDEX('Quy trình'!$B$5:$B$12,MATCH($C103,'Quy trình'!$A$5:$A$12,0)),""))</f>
        <v/>
      </c>
      <c r="E103" s="23" t="str">
        <f aca="false">IF($B103="","",IFERROR(INDEX('Mẫu task'!$D$5:$D$64,MATCH($B103,'Mẫu task'!$A$5:$A$64,0)),""))</f>
        <v/>
      </c>
      <c r="F103" s="23" t="str">
        <f aca="false">IF($B103="","",IFERROR(INDEX('Mẫu task'!$E$5:$E$64,MATCH($B103,'Mẫu task'!$A$5:$A$64,0)),""))</f>
        <v/>
      </c>
      <c r="G103" s="19"/>
      <c r="H103" s="20"/>
      <c r="I103" s="14" t="str">
        <f aca="false">IF($B103="","",IFERROR(INDEX('Mẫu task'!$H$5:$H$64,MATCH($B103,'Mẫu task'!$A$5:$A$64,0)),""))</f>
        <v/>
      </c>
      <c r="J103" s="24" t="str">
        <f aca="false">IF(OR($H103="",$I103=""),"",$H103+$I103)</f>
        <v/>
      </c>
      <c r="K103" s="22"/>
      <c r="L103" s="20"/>
      <c r="M103" s="14" t="str">
        <f aca="true">IF($B103="","",IF($K103="Hoàn thành","Xong",IF($K103="Không áp dụng","—",IF($K103="Bị chặn","Bị chặn",IF($O103=1,"TRỄ "&amp;(TODAY()-$J103)&amp;" ngày",IF(AND($K103="Đang làm",$P103&gt;0),"Bước trước chưa xong",IF(AND($J103&lt;&gt;"",N($J103)-TODAY()&lt;=3),"Sắp đến hạn",IF($K103="Đang làm","Đang làm","Chưa bắt đầu"))))))))</f>
        <v/>
      </c>
      <c r="N103" s="25"/>
      <c r="O103" s="26" t="n">
        <f aca="true">IF(AND($B103&lt;&gt;"",$K103&lt;&gt;"Hoàn thành",$K103&lt;&gt;"Không áp dụng",$J103&lt;&gt;""),IF($J103&lt;TODAY(),1,0),0)</f>
        <v>0</v>
      </c>
      <c r="P103" s="26" t="n">
        <f aca="false">IF(AND($B103&lt;&gt;"",$C103&lt;&gt;"",N($C103)&gt;1),COUNTIFS(Task!$A$5:$A$404,$A103,Task!$C$5:$C$404,N($C103)-1,Task!$K$5:$K$404,"&lt;&gt;Hoàn thành",Task!$K$5:$K$404,"&lt;&gt;Không áp dụng"),0)</f>
        <v>0</v>
      </c>
    </row>
    <row r="104" customFormat="false" ht="15" hidden="false" customHeight="false" outlineLevel="0" collapsed="false">
      <c r="A104" s="19"/>
      <c r="B104" s="22"/>
      <c r="C104" s="14" t="str">
        <f aca="false">IF($B104="","",IFERROR(INDEX('Mẫu task'!$B$5:$B$64,MATCH($B104,'Mẫu task'!$A$5:$A$64,0)),""))</f>
        <v/>
      </c>
      <c r="D104" s="15" t="str">
        <f aca="false">IF($C104="","",IFERROR(INDEX('Quy trình'!$B$5:$B$12,MATCH($C104,'Quy trình'!$A$5:$A$12,0)),""))</f>
        <v/>
      </c>
      <c r="E104" s="23" t="str">
        <f aca="false">IF($B104="","",IFERROR(INDEX('Mẫu task'!$D$5:$D$64,MATCH($B104,'Mẫu task'!$A$5:$A$64,0)),""))</f>
        <v/>
      </c>
      <c r="F104" s="23" t="str">
        <f aca="false">IF($B104="","",IFERROR(INDEX('Mẫu task'!$E$5:$E$64,MATCH($B104,'Mẫu task'!$A$5:$A$64,0)),""))</f>
        <v/>
      </c>
      <c r="G104" s="19"/>
      <c r="H104" s="20"/>
      <c r="I104" s="14" t="str">
        <f aca="false">IF($B104="","",IFERROR(INDEX('Mẫu task'!$H$5:$H$64,MATCH($B104,'Mẫu task'!$A$5:$A$64,0)),""))</f>
        <v/>
      </c>
      <c r="J104" s="24" t="str">
        <f aca="false">IF(OR($H104="",$I104=""),"",$H104+$I104)</f>
        <v/>
      </c>
      <c r="K104" s="22"/>
      <c r="L104" s="20"/>
      <c r="M104" s="14" t="str">
        <f aca="true">IF($B104="","",IF($K104="Hoàn thành","Xong",IF($K104="Không áp dụng","—",IF($K104="Bị chặn","Bị chặn",IF($O104=1,"TRỄ "&amp;(TODAY()-$J104)&amp;" ngày",IF(AND($K104="Đang làm",$P104&gt;0),"Bước trước chưa xong",IF(AND($J104&lt;&gt;"",N($J104)-TODAY()&lt;=3),"Sắp đến hạn",IF($K104="Đang làm","Đang làm","Chưa bắt đầu"))))))))</f>
        <v/>
      </c>
      <c r="N104" s="25"/>
      <c r="O104" s="26" t="n">
        <f aca="true">IF(AND($B104&lt;&gt;"",$K104&lt;&gt;"Hoàn thành",$K104&lt;&gt;"Không áp dụng",$J104&lt;&gt;""),IF($J104&lt;TODAY(),1,0),0)</f>
        <v>0</v>
      </c>
      <c r="P104" s="26" t="n">
        <f aca="false">IF(AND($B104&lt;&gt;"",$C104&lt;&gt;"",N($C104)&gt;1),COUNTIFS(Task!$A$5:$A$404,$A104,Task!$C$5:$C$404,N($C104)-1,Task!$K$5:$K$404,"&lt;&gt;Hoàn thành",Task!$K$5:$K$404,"&lt;&gt;Không áp dụng"),0)</f>
        <v>0</v>
      </c>
    </row>
    <row r="105" customFormat="false" ht="15" hidden="false" customHeight="false" outlineLevel="0" collapsed="false">
      <c r="A105" s="19"/>
      <c r="B105" s="22"/>
      <c r="C105" s="14" t="str">
        <f aca="false">IF($B105="","",IFERROR(INDEX('Mẫu task'!$B$5:$B$64,MATCH($B105,'Mẫu task'!$A$5:$A$64,0)),""))</f>
        <v/>
      </c>
      <c r="D105" s="15" t="str">
        <f aca="false">IF($C105="","",IFERROR(INDEX('Quy trình'!$B$5:$B$12,MATCH($C105,'Quy trình'!$A$5:$A$12,0)),""))</f>
        <v/>
      </c>
      <c r="E105" s="23" t="str">
        <f aca="false">IF($B105="","",IFERROR(INDEX('Mẫu task'!$D$5:$D$64,MATCH($B105,'Mẫu task'!$A$5:$A$64,0)),""))</f>
        <v/>
      </c>
      <c r="F105" s="23" t="str">
        <f aca="false">IF($B105="","",IFERROR(INDEX('Mẫu task'!$E$5:$E$64,MATCH($B105,'Mẫu task'!$A$5:$A$64,0)),""))</f>
        <v/>
      </c>
      <c r="G105" s="19"/>
      <c r="H105" s="20"/>
      <c r="I105" s="14" t="str">
        <f aca="false">IF($B105="","",IFERROR(INDEX('Mẫu task'!$H$5:$H$64,MATCH($B105,'Mẫu task'!$A$5:$A$64,0)),""))</f>
        <v/>
      </c>
      <c r="J105" s="24" t="str">
        <f aca="false">IF(OR($H105="",$I105=""),"",$H105+$I105)</f>
        <v/>
      </c>
      <c r="K105" s="22"/>
      <c r="L105" s="20"/>
      <c r="M105" s="14" t="str">
        <f aca="true">IF($B105="","",IF($K105="Hoàn thành","Xong",IF($K105="Không áp dụng","—",IF($K105="Bị chặn","Bị chặn",IF($O105=1,"TRỄ "&amp;(TODAY()-$J105)&amp;" ngày",IF(AND($K105="Đang làm",$P105&gt;0),"Bước trước chưa xong",IF(AND($J105&lt;&gt;"",N($J105)-TODAY()&lt;=3),"Sắp đến hạn",IF($K105="Đang làm","Đang làm","Chưa bắt đầu"))))))))</f>
        <v/>
      </c>
      <c r="N105" s="25"/>
      <c r="O105" s="26" t="n">
        <f aca="true">IF(AND($B105&lt;&gt;"",$K105&lt;&gt;"Hoàn thành",$K105&lt;&gt;"Không áp dụng",$J105&lt;&gt;""),IF($J105&lt;TODAY(),1,0),0)</f>
        <v>0</v>
      </c>
      <c r="P105" s="26" t="n">
        <f aca="false">IF(AND($B105&lt;&gt;"",$C105&lt;&gt;"",N($C105)&gt;1),COUNTIFS(Task!$A$5:$A$404,$A105,Task!$C$5:$C$404,N($C105)-1,Task!$K$5:$K$404,"&lt;&gt;Hoàn thành",Task!$K$5:$K$404,"&lt;&gt;Không áp dụng"),0)</f>
        <v>0</v>
      </c>
    </row>
    <row r="106" customFormat="false" ht="15" hidden="false" customHeight="false" outlineLevel="0" collapsed="false">
      <c r="A106" s="19"/>
      <c r="B106" s="22"/>
      <c r="C106" s="14" t="str">
        <f aca="false">IF($B106="","",IFERROR(INDEX('Mẫu task'!$B$5:$B$64,MATCH($B106,'Mẫu task'!$A$5:$A$64,0)),""))</f>
        <v/>
      </c>
      <c r="D106" s="15" t="str">
        <f aca="false">IF($C106="","",IFERROR(INDEX('Quy trình'!$B$5:$B$12,MATCH($C106,'Quy trình'!$A$5:$A$12,0)),""))</f>
        <v/>
      </c>
      <c r="E106" s="23" t="str">
        <f aca="false">IF($B106="","",IFERROR(INDEX('Mẫu task'!$D$5:$D$64,MATCH($B106,'Mẫu task'!$A$5:$A$64,0)),""))</f>
        <v/>
      </c>
      <c r="F106" s="23" t="str">
        <f aca="false">IF($B106="","",IFERROR(INDEX('Mẫu task'!$E$5:$E$64,MATCH($B106,'Mẫu task'!$A$5:$A$64,0)),""))</f>
        <v/>
      </c>
      <c r="G106" s="19"/>
      <c r="H106" s="20"/>
      <c r="I106" s="14" t="str">
        <f aca="false">IF($B106="","",IFERROR(INDEX('Mẫu task'!$H$5:$H$64,MATCH($B106,'Mẫu task'!$A$5:$A$64,0)),""))</f>
        <v/>
      </c>
      <c r="J106" s="24" t="str">
        <f aca="false">IF(OR($H106="",$I106=""),"",$H106+$I106)</f>
        <v/>
      </c>
      <c r="K106" s="22"/>
      <c r="L106" s="20"/>
      <c r="M106" s="14" t="str">
        <f aca="true">IF($B106="","",IF($K106="Hoàn thành","Xong",IF($K106="Không áp dụng","—",IF($K106="Bị chặn","Bị chặn",IF($O106=1,"TRỄ "&amp;(TODAY()-$J106)&amp;" ngày",IF(AND($K106="Đang làm",$P106&gt;0),"Bước trước chưa xong",IF(AND($J106&lt;&gt;"",N($J106)-TODAY()&lt;=3),"Sắp đến hạn",IF($K106="Đang làm","Đang làm","Chưa bắt đầu"))))))))</f>
        <v/>
      </c>
      <c r="N106" s="25"/>
      <c r="O106" s="26" t="n">
        <f aca="true">IF(AND($B106&lt;&gt;"",$K106&lt;&gt;"Hoàn thành",$K106&lt;&gt;"Không áp dụng",$J106&lt;&gt;""),IF($J106&lt;TODAY(),1,0),0)</f>
        <v>0</v>
      </c>
      <c r="P106" s="26" t="n">
        <f aca="false">IF(AND($B106&lt;&gt;"",$C106&lt;&gt;"",N($C106)&gt;1),COUNTIFS(Task!$A$5:$A$404,$A106,Task!$C$5:$C$404,N($C106)-1,Task!$K$5:$K$404,"&lt;&gt;Hoàn thành",Task!$K$5:$K$404,"&lt;&gt;Không áp dụng"),0)</f>
        <v>0</v>
      </c>
    </row>
    <row r="107" customFormat="false" ht="15" hidden="false" customHeight="false" outlineLevel="0" collapsed="false">
      <c r="A107" s="19"/>
      <c r="B107" s="22"/>
      <c r="C107" s="14" t="str">
        <f aca="false">IF($B107="","",IFERROR(INDEX('Mẫu task'!$B$5:$B$64,MATCH($B107,'Mẫu task'!$A$5:$A$64,0)),""))</f>
        <v/>
      </c>
      <c r="D107" s="15" t="str">
        <f aca="false">IF($C107="","",IFERROR(INDEX('Quy trình'!$B$5:$B$12,MATCH($C107,'Quy trình'!$A$5:$A$12,0)),""))</f>
        <v/>
      </c>
      <c r="E107" s="23" t="str">
        <f aca="false">IF($B107="","",IFERROR(INDEX('Mẫu task'!$D$5:$D$64,MATCH($B107,'Mẫu task'!$A$5:$A$64,0)),""))</f>
        <v/>
      </c>
      <c r="F107" s="23" t="str">
        <f aca="false">IF($B107="","",IFERROR(INDEX('Mẫu task'!$E$5:$E$64,MATCH($B107,'Mẫu task'!$A$5:$A$64,0)),""))</f>
        <v/>
      </c>
      <c r="G107" s="19"/>
      <c r="H107" s="20"/>
      <c r="I107" s="14" t="str">
        <f aca="false">IF($B107="","",IFERROR(INDEX('Mẫu task'!$H$5:$H$64,MATCH($B107,'Mẫu task'!$A$5:$A$64,0)),""))</f>
        <v/>
      </c>
      <c r="J107" s="24" t="str">
        <f aca="false">IF(OR($H107="",$I107=""),"",$H107+$I107)</f>
        <v/>
      </c>
      <c r="K107" s="22"/>
      <c r="L107" s="20"/>
      <c r="M107" s="14" t="str">
        <f aca="true">IF($B107="","",IF($K107="Hoàn thành","Xong",IF($K107="Không áp dụng","—",IF($K107="Bị chặn","Bị chặn",IF($O107=1,"TRỄ "&amp;(TODAY()-$J107)&amp;" ngày",IF(AND($K107="Đang làm",$P107&gt;0),"Bước trước chưa xong",IF(AND($J107&lt;&gt;"",N($J107)-TODAY()&lt;=3),"Sắp đến hạn",IF($K107="Đang làm","Đang làm","Chưa bắt đầu"))))))))</f>
        <v/>
      </c>
      <c r="N107" s="25"/>
      <c r="O107" s="26" t="n">
        <f aca="true">IF(AND($B107&lt;&gt;"",$K107&lt;&gt;"Hoàn thành",$K107&lt;&gt;"Không áp dụng",$J107&lt;&gt;""),IF($J107&lt;TODAY(),1,0),0)</f>
        <v>0</v>
      </c>
      <c r="P107" s="26" t="n">
        <f aca="false">IF(AND($B107&lt;&gt;"",$C107&lt;&gt;"",N($C107)&gt;1),COUNTIFS(Task!$A$5:$A$404,$A107,Task!$C$5:$C$404,N($C107)-1,Task!$K$5:$K$404,"&lt;&gt;Hoàn thành",Task!$K$5:$K$404,"&lt;&gt;Không áp dụng"),0)</f>
        <v>0</v>
      </c>
    </row>
    <row r="108" customFormat="false" ht="15" hidden="false" customHeight="false" outlineLevel="0" collapsed="false">
      <c r="A108" s="19"/>
      <c r="B108" s="22"/>
      <c r="C108" s="14" t="str">
        <f aca="false">IF($B108="","",IFERROR(INDEX('Mẫu task'!$B$5:$B$64,MATCH($B108,'Mẫu task'!$A$5:$A$64,0)),""))</f>
        <v/>
      </c>
      <c r="D108" s="15" t="str">
        <f aca="false">IF($C108="","",IFERROR(INDEX('Quy trình'!$B$5:$B$12,MATCH($C108,'Quy trình'!$A$5:$A$12,0)),""))</f>
        <v/>
      </c>
      <c r="E108" s="23" t="str">
        <f aca="false">IF($B108="","",IFERROR(INDEX('Mẫu task'!$D$5:$D$64,MATCH($B108,'Mẫu task'!$A$5:$A$64,0)),""))</f>
        <v/>
      </c>
      <c r="F108" s="23" t="str">
        <f aca="false">IF($B108="","",IFERROR(INDEX('Mẫu task'!$E$5:$E$64,MATCH($B108,'Mẫu task'!$A$5:$A$64,0)),""))</f>
        <v/>
      </c>
      <c r="G108" s="19"/>
      <c r="H108" s="20"/>
      <c r="I108" s="14" t="str">
        <f aca="false">IF($B108="","",IFERROR(INDEX('Mẫu task'!$H$5:$H$64,MATCH($B108,'Mẫu task'!$A$5:$A$64,0)),""))</f>
        <v/>
      </c>
      <c r="J108" s="24" t="str">
        <f aca="false">IF(OR($H108="",$I108=""),"",$H108+$I108)</f>
        <v/>
      </c>
      <c r="K108" s="22"/>
      <c r="L108" s="20"/>
      <c r="M108" s="14" t="str">
        <f aca="true">IF($B108="","",IF($K108="Hoàn thành","Xong",IF($K108="Không áp dụng","—",IF($K108="Bị chặn","Bị chặn",IF($O108=1,"TRỄ "&amp;(TODAY()-$J108)&amp;" ngày",IF(AND($K108="Đang làm",$P108&gt;0),"Bước trước chưa xong",IF(AND($J108&lt;&gt;"",N($J108)-TODAY()&lt;=3),"Sắp đến hạn",IF($K108="Đang làm","Đang làm","Chưa bắt đầu"))))))))</f>
        <v/>
      </c>
      <c r="N108" s="25"/>
      <c r="O108" s="26" t="n">
        <f aca="true">IF(AND($B108&lt;&gt;"",$K108&lt;&gt;"Hoàn thành",$K108&lt;&gt;"Không áp dụng",$J108&lt;&gt;""),IF($J108&lt;TODAY(),1,0),0)</f>
        <v>0</v>
      </c>
      <c r="P108" s="26" t="n">
        <f aca="false">IF(AND($B108&lt;&gt;"",$C108&lt;&gt;"",N($C108)&gt;1),COUNTIFS(Task!$A$5:$A$404,$A108,Task!$C$5:$C$404,N($C108)-1,Task!$K$5:$K$404,"&lt;&gt;Hoàn thành",Task!$K$5:$K$404,"&lt;&gt;Không áp dụng"),0)</f>
        <v>0</v>
      </c>
    </row>
    <row r="109" customFormat="false" ht="15" hidden="false" customHeight="false" outlineLevel="0" collapsed="false">
      <c r="A109" s="19"/>
      <c r="B109" s="22"/>
      <c r="C109" s="14" t="str">
        <f aca="false">IF($B109="","",IFERROR(INDEX('Mẫu task'!$B$5:$B$64,MATCH($B109,'Mẫu task'!$A$5:$A$64,0)),""))</f>
        <v/>
      </c>
      <c r="D109" s="15" t="str">
        <f aca="false">IF($C109="","",IFERROR(INDEX('Quy trình'!$B$5:$B$12,MATCH($C109,'Quy trình'!$A$5:$A$12,0)),""))</f>
        <v/>
      </c>
      <c r="E109" s="23" t="str">
        <f aca="false">IF($B109="","",IFERROR(INDEX('Mẫu task'!$D$5:$D$64,MATCH($B109,'Mẫu task'!$A$5:$A$64,0)),""))</f>
        <v/>
      </c>
      <c r="F109" s="23" t="str">
        <f aca="false">IF($B109="","",IFERROR(INDEX('Mẫu task'!$E$5:$E$64,MATCH($B109,'Mẫu task'!$A$5:$A$64,0)),""))</f>
        <v/>
      </c>
      <c r="G109" s="19"/>
      <c r="H109" s="20"/>
      <c r="I109" s="14" t="str">
        <f aca="false">IF($B109="","",IFERROR(INDEX('Mẫu task'!$H$5:$H$64,MATCH($B109,'Mẫu task'!$A$5:$A$64,0)),""))</f>
        <v/>
      </c>
      <c r="J109" s="24" t="str">
        <f aca="false">IF(OR($H109="",$I109=""),"",$H109+$I109)</f>
        <v/>
      </c>
      <c r="K109" s="22"/>
      <c r="L109" s="20"/>
      <c r="M109" s="14" t="str">
        <f aca="true">IF($B109="","",IF($K109="Hoàn thành","Xong",IF($K109="Không áp dụng","—",IF($K109="Bị chặn","Bị chặn",IF($O109=1,"TRỄ "&amp;(TODAY()-$J109)&amp;" ngày",IF(AND($K109="Đang làm",$P109&gt;0),"Bước trước chưa xong",IF(AND($J109&lt;&gt;"",N($J109)-TODAY()&lt;=3),"Sắp đến hạn",IF($K109="Đang làm","Đang làm","Chưa bắt đầu"))))))))</f>
        <v/>
      </c>
      <c r="N109" s="25"/>
      <c r="O109" s="26" t="n">
        <f aca="true">IF(AND($B109&lt;&gt;"",$K109&lt;&gt;"Hoàn thành",$K109&lt;&gt;"Không áp dụng",$J109&lt;&gt;""),IF($J109&lt;TODAY(),1,0),0)</f>
        <v>0</v>
      </c>
      <c r="P109" s="26" t="n">
        <f aca="false">IF(AND($B109&lt;&gt;"",$C109&lt;&gt;"",N($C109)&gt;1),COUNTIFS(Task!$A$5:$A$404,$A109,Task!$C$5:$C$404,N($C109)-1,Task!$K$5:$K$404,"&lt;&gt;Hoàn thành",Task!$K$5:$K$404,"&lt;&gt;Không áp dụng"),0)</f>
        <v>0</v>
      </c>
    </row>
    <row r="110" customFormat="false" ht="15" hidden="false" customHeight="false" outlineLevel="0" collapsed="false">
      <c r="A110" s="19"/>
      <c r="B110" s="22"/>
      <c r="C110" s="14" t="str">
        <f aca="false">IF($B110="","",IFERROR(INDEX('Mẫu task'!$B$5:$B$64,MATCH($B110,'Mẫu task'!$A$5:$A$64,0)),""))</f>
        <v/>
      </c>
      <c r="D110" s="15" t="str">
        <f aca="false">IF($C110="","",IFERROR(INDEX('Quy trình'!$B$5:$B$12,MATCH($C110,'Quy trình'!$A$5:$A$12,0)),""))</f>
        <v/>
      </c>
      <c r="E110" s="23" t="str">
        <f aca="false">IF($B110="","",IFERROR(INDEX('Mẫu task'!$D$5:$D$64,MATCH($B110,'Mẫu task'!$A$5:$A$64,0)),""))</f>
        <v/>
      </c>
      <c r="F110" s="23" t="str">
        <f aca="false">IF($B110="","",IFERROR(INDEX('Mẫu task'!$E$5:$E$64,MATCH($B110,'Mẫu task'!$A$5:$A$64,0)),""))</f>
        <v/>
      </c>
      <c r="G110" s="19"/>
      <c r="H110" s="20"/>
      <c r="I110" s="14" t="str">
        <f aca="false">IF($B110="","",IFERROR(INDEX('Mẫu task'!$H$5:$H$64,MATCH($B110,'Mẫu task'!$A$5:$A$64,0)),""))</f>
        <v/>
      </c>
      <c r="J110" s="24" t="str">
        <f aca="false">IF(OR($H110="",$I110=""),"",$H110+$I110)</f>
        <v/>
      </c>
      <c r="K110" s="22"/>
      <c r="L110" s="20"/>
      <c r="M110" s="14" t="str">
        <f aca="true">IF($B110="","",IF($K110="Hoàn thành","Xong",IF($K110="Không áp dụng","—",IF($K110="Bị chặn","Bị chặn",IF($O110=1,"TRỄ "&amp;(TODAY()-$J110)&amp;" ngày",IF(AND($K110="Đang làm",$P110&gt;0),"Bước trước chưa xong",IF(AND($J110&lt;&gt;"",N($J110)-TODAY()&lt;=3),"Sắp đến hạn",IF($K110="Đang làm","Đang làm","Chưa bắt đầu"))))))))</f>
        <v/>
      </c>
      <c r="N110" s="25"/>
      <c r="O110" s="26" t="n">
        <f aca="true">IF(AND($B110&lt;&gt;"",$K110&lt;&gt;"Hoàn thành",$K110&lt;&gt;"Không áp dụng",$J110&lt;&gt;""),IF($J110&lt;TODAY(),1,0),0)</f>
        <v>0</v>
      </c>
      <c r="P110" s="26" t="n">
        <f aca="false">IF(AND($B110&lt;&gt;"",$C110&lt;&gt;"",N($C110)&gt;1),COUNTIFS(Task!$A$5:$A$404,$A110,Task!$C$5:$C$404,N($C110)-1,Task!$K$5:$K$404,"&lt;&gt;Hoàn thành",Task!$K$5:$K$404,"&lt;&gt;Không áp dụng"),0)</f>
        <v>0</v>
      </c>
    </row>
    <row r="111" customFormat="false" ht="15" hidden="false" customHeight="false" outlineLevel="0" collapsed="false">
      <c r="A111" s="19"/>
      <c r="B111" s="22"/>
      <c r="C111" s="14" t="str">
        <f aca="false">IF($B111="","",IFERROR(INDEX('Mẫu task'!$B$5:$B$64,MATCH($B111,'Mẫu task'!$A$5:$A$64,0)),""))</f>
        <v/>
      </c>
      <c r="D111" s="15" t="str">
        <f aca="false">IF($C111="","",IFERROR(INDEX('Quy trình'!$B$5:$B$12,MATCH($C111,'Quy trình'!$A$5:$A$12,0)),""))</f>
        <v/>
      </c>
      <c r="E111" s="23" t="str">
        <f aca="false">IF($B111="","",IFERROR(INDEX('Mẫu task'!$D$5:$D$64,MATCH($B111,'Mẫu task'!$A$5:$A$64,0)),""))</f>
        <v/>
      </c>
      <c r="F111" s="23" t="str">
        <f aca="false">IF($B111="","",IFERROR(INDEX('Mẫu task'!$E$5:$E$64,MATCH($B111,'Mẫu task'!$A$5:$A$64,0)),""))</f>
        <v/>
      </c>
      <c r="G111" s="19"/>
      <c r="H111" s="20"/>
      <c r="I111" s="14" t="str">
        <f aca="false">IF($B111="","",IFERROR(INDEX('Mẫu task'!$H$5:$H$64,MATCH($B111,'Mẫu task'!$A$5:$A$64,0)),""))</f>
        <v/>
      </c>
      <c r="J111" s="24" t="str">
        <f aca="false">IF(OR($H111="",$I111=""),"",$H111+$I111)</f>
        <v/>
      </c>
      <c r="K111" s="22"/>
      <c r="L111" s="20"/>
      <c r="M111" s="14" t="str">
        <f aca="true">IF($B111="","",IF($K111="Hoàn thành","Xong",IF($K111="Không áp dụng","—",IF($K111="Bị chặn","Bị chặn",IF($O111=1,"TRỄ "&amp;(TODAY()-$J111)&amp;" ngày",IF(AND($K111="Đang làm",$P111&gt;0),"Bước trước chưa xong",IF(AND($J111&lt;&gt;"",N($J111)-TODAY()&lt;=3),"Sắp đến hạn",IF($K111="Đang làm","Đang làm","Chưa bắt đầu"))))))))</f>
        <v/>
      </c>
      <c r="N111" s="25"/>
      <c r="O111" s="26" t="n">
        <f aca="true">IF(AND($B111&lt;&gt;"",$K111&lt;&gt;"Hoàn thành",$K111&lt;&gt;"Không áp dụng",$J111&lt;&gt;""),IF($J111&lt;TODAY(),1,0),0)</f>
        <v>0</v>
      </c>
      <c r="P111" s="26" t="n">
        <f aca="false">IF(AND($B111&lt;&gt;"",$C111&lt;&gt;"",N($C111)&gt;1),COUNTIFS(Task!$A$5:$A$404,$A111,Task!$C$5:$C$404,N($C111)-1,Task!$K$5:$K$404,"&lt;&gt;Hoàn thành",Task!$K$5:$K$404,"&lt;&gt;Không áp dụng"),0)</f>
        <v>0</v>
      </c>
    </row>
    <row r="112" customFormat="false" ht="15" hidden="false" customHeight="false" outlineLevel="0" collapsed="false">
      <c r="A112" s="19"/>
      <c r="B112" s="22"/>
      <c r="C112" s="14" t="str">
        <f aca="false">IF($B112="","",IFERROR(INDEX('Mẫu task'!$B$5:$B$64,MATCH($B112,'Mẫu task'!$A$5:$A$64,0)),""))</f>
        <v/>
      </c>
      <c r="D112" s="15" t="str">
        <f aca="false">IF($C112="","",IFERROR(INDEX('Quy trình'!$B$5:$B$12,MATCH($C112,'Quy trình'!$A$5:$A$12,0)),""))</f>
        <v/>
      </c>
      <c r="E112" s="23" t="str">
        <f aca="false">IF($B112="","",IFERROR(INDEX('Mẫu task'!$D$5:$D$64,MATCH($B112,'Mẫu task'!$A$5:$A$64,0)),""))</f>
        <v/>
      </c>
      <c r="F112" s="23" t="str">
        <f aca="false">IF($B112="","",IFERROR(INDEX('Mẫu task'!$E$5:$E$64,MATCH($B112,'Mẫu task'!$A$5:$A$64,0)),""))</f>
        <v/>
      </c>
      <c r="G112" s="19"/>
      <c r="H112" s="20"/>
      <c r="I112" s="14" t="str">
        <f aca="false">IF($B112="","",IFERROR(INDEX('Mẫu task'!$H$5:$H$64,MATCH($B112,'Mẫu task'!$A$5:$A$64,0)),""))</f>
        <v/>
      </c>
      <c r="J112" s="24" t="str">
        <f aca="false">IF(OR($H112="",$I112=""),"",$H112+$I112)</f>
        <v/>
      </c>
      <c r="K112" s="22"/>
      <c r="L112" s="20"/>
      <c r="M112" s="14" t="str">
        <f aca="true">IF($B112="","",IF($K112="Hoàn thành","Xong",IF($K112="Không áp dụng","—",IF($K112="Bị chặn","Bị chặn",IF($O112=1,"TRỄ "&amp;(TODAY()-$J112)&amp;" ngày",IF(AND($K112="Đang làm",$P112&gt;0),"Bước trước chưa xong",IF(AND($J112&lt;&gt;"",N($J112)-TODAY()&lt;=3),"Sắp đến hạn",IF($K112="Đang làm","Đang làm","Chưa bắt đầu"))))))))</f>
        <v/>
      </c>
      <c r="N112" s="25"/>
      <c r="O112" s="26" t="n">
        <f aca="true">IF(AND($B112&lt;&gt;"",$K112&lt;&gt;"Hoàn thành",$K112&lt;&gt;"Không áp dụng",$J112&lt;&gt;""),IF($J112&lt;TODAY(),1,0),0)</f>
        <v>0</v>
      </c>
      <c r="P112" s="26" t="n">
        <f aca="false">IF(AND($B112&lt;&gt;"",$C112&lt;&gt;"",N($C112)&gt;1),COUNTIFS(Task!$A$5:$A$404,$A112,Task!$C$5:$C$404,N($C112)-1,Task!$K$5:$K$404,"&lt;&gt;Hoàn thành",Task!$K$5:$K$404,"&lt;&gt;Không áp dụng"),0)</f>
        <v>0</v>
      </c>
    </row>
    <row r="113" customFormat="false" ht="15" hidden="false" customHeight="false" outlineLevel="0" collapsed="false">
      <c r="A113" s="19"/>
      <c r="B113" s="22"/>
      <c r="C113" s="14" t="str">
        <f aca="false">IF($B113="","",IFERROR(INDEX('Mẫu task'!$B$5:$B$64,MATCH($B113,'Mẫu task'!$A$5:$A$64,0)),""))</f>
        <v/>
      </c>
      <c r="D113" s="15" t="str">
        <f aca="false">IF($C113="","",IFERROR(INDEX('Quy trình'!$B$5:$B$12,MATCH($C113,'Quy trình'!$A$5:$A$12,0)),""))</f>
        <v/>
      </c>
      <c r="E113" s="23" t="str">
        <f aca="false">IF($B113="","",IFERROR(INDEX('Mẫu task'!$D$5:$D$64,MATCH($B113,'Mẫu task'!$A$5:$A$64,0)),""))</f>
        <v/>
      </c>
      <c r="F113" s="23" t="str">
        <f aca="false">IF($B113="","",IFERROR(INDEX('Mẫu task'!$E$5:$E$64,MATCH($B113,'Mẫu task'!$A$5:$A$64,0)),""))</f>
        <v/>
      </c>
      <c r="G113" s="19"/>
      <c r="H113" s="20"/>
      <c r="I113" s="14" t="str">
        <f aca="false">IF($B113="","",IFERROR(INDEX('Mẫu task'!$H$5:$H$64,MATCH($B113,'Mẫu task'!$A$5:$A$64,0)),""))</f>
        <v/>
      </c>
      <c r="J113" s="24" t="str">
        <f aca="false">IF(OR($H113="",$I113=""),"",$H113+$I113)</f>
        <v/>
      </c>
      <c r="K113" s="22"/>
      <c r="L113" s="20"/>
      <c r="M113" s="14" t="str">
        <f aca="true">IF($B113="","",IF($K113="Hoàn thành","Xong",IF($K113="Không áp dụng","—",IF($K113="Bị chặn","Bị chặn",IF($O113=1,"TRỄ "&amp;(TODAY()-$J113)&amp;" ngày",IF(AND($K113="Đang làm",$P113&gt;0),"Bước trước chưa xong",IF(AND($J113&lt;&gt;"",N($J113)-TODAY()&lt;=3),"Sắp đến hạn",IF($K113="Đang làm","Đang làm","Chưa bắt đầu"))))))))</f>
        <v/>
      </c>
      <c r="N113" s="25"/>
      <c r="O113" s="26" t="n">
        <f aca="true">IF(AND($B113&lt;&gt;"",$K113&lt;&gt;"Hoàn thành",$K113&lt;&gt;"Không áp dụng",$J113&lt;&gt;""),IF($J113&lt;TODAY(),1,0),0)</f>
        <v>0</v>
      </c>
      <c r="P113" s="26" t="n">
        <f aca="false">IF(AND($B113&lt;&gt;"",$C113&lt;&gt;"",N($C113)&gt;1),COUNTIFS(Task!$A$5:$A$404,$A113,Task!$C$5:$C$404,N($C113)-1,Task!$K$5:$K$404,"&lt;&gt;Hoàn thành",Task!$K$5:$K$404,"&lt;&gt;Không áp dụng"),0)</f>
        <v>0</v>
      </c>
    </row>
    <row r="114" customFormat="false" ht="15" hidden="false" customHeight="false" outlineLevel="0" collapsed="false">
      <c r="A114" s="19"/>
      <c r="B114" s="22"/>
      <c r="C114" s="14" t="str">
        <f aca="false">IF($B114="","",IFERROR(INDEX('Mẫu task'!$B$5:$B$64,MATCH($B114,'Mẫu task'!$A$5:$A$64,0)),""))</f>
        <v/>
      </c>
      <c r="D114" s="15" t="str">
        <f aca="false">IF($C114="","",IFERROR(INDEX('Quy trình'!$B$5:$B$12,MATCH($C114,'Quy trình'!$A$5:$A$12,0)),""))</f>
        <v/>
      </c>
      <c r="E114" s="23" t="str">
        <f aca="false">IF($B114="","",IFERROR(INDEX('Mẫu task'!$D$5:$D$64,MATCH($B114,'Mẫu task'!$A$5:$A$64,0)),""))</f>
        <v/>
      </c>
      <c r="F114" s="23" t="str">
        <f aca="false">IF($B114="","",IFERROR(INDEX('Mẫu task'!$E$5:$E$64,MATCH($B114,'Mẫu task'!$A$5:$A$64,0)),""))</f>
        <v/>
      </c>
      <c r="G114" s="19"/>
      <c r="H114" s="20"/>
      <c r="I114" s="14" t="str">
        <f aca="false">IF($B114="","",IFERROR(INDEX('Mẫu task'!$H$5:$H$64,MATCH($B114,'Mẫu task'!$A$5:$A$64,0)),""))</f>
        <v/>
      </c>
      <c r="J114" s="24" t="str">
        <f aca="false">IF(OR($H114="",$I114=""),"",$H114+$I114)</f>
        <v/>
      </c>
      <c r="K114" s="22"/>
      <c r="L114" s="20"/>
      <c r="M114" s="14" t="str">
        <f aca="true">IF($B114="","",IF($K114="Hoàn thành","Xong",IF($K114="Không áp dụng","—",IF($K114="Bị chặn","Bị chặn",IF($O114=1,"TRỄ "&amp;(TODAY()-$J114)&amp;" ngày",IF(AND($K114="Đang làm",$P114&gt;0),"Bước trước chưa xong",IF(AND($J114&lt;&gt;"",N($J114)-TODAY()&lt;=3),"Sắp đến hạn",IF($K114="Đang làm","Đang làm","Chưa bắt đầu"))))))))</f>
        <v/>
      </c>
      <c r="N114" s="25"/>
      <c r="O114" s="26" t="n">
        <f aca="true">IF(AND($B114&lt;&gt;"",$K114&lt;&gt;"Hoàn thành",$K114&lt;&gt;"Không áp dụng",$J114&lt;&gt;""),IF($J114&lt;TODAY(),1,0),0)</f>
        <v>0</v>
      </c>
      <c r="P114" s="26" t="n">
        <f aca="false">IF(AND($B114&lt;&gt;"",$C114&lt;&gt;"",N($C114)&gt;1),COUNTIFS(Task!$A$5:$A$404,$A114,Task!$C$5:$C$404,N($C114)-1,Task!$K$5:$K$404,"&lt;&gt;Hoàn thành",Task!$K$5:$K$404,"&lt;&gt;Không áp dụng"),0)</f>
        <v>0</v>
      </c>
    </row>
    <row r="115" customFormat="false" ht="15" hidden="false" customHeight="false" outlineLevel="0" collapsed="false">
      <c r="A115" s="19"/>
      <c r="B115" s="22"/>
      <c r="C115" s="14" t="str">
        <f aca="false">IF($B115="","",IFERROR(INDEX('Mẫu task'!$B$5:$B$64,MATCH($B115,'Mẫu task'!$A$5:$A$64,0)),""))</f>
        <v/>
      </c>
      <c r="D115" s="15" t="str">
        <f aca="false">IF($C115="","",IFERROR(INDEX('Quy trình'!$B$5:$B$12,MATCH($C115,'Quy trình'!$A$5:$A$12,0)),""))</f>
        <v/>
      </c>
      <c r="E115" s="23" t="str">
        <f aca="false">IF($B115="","",IFERROR(INDEX('Mẫu task'!$D$5:$D$64,MATCH($B115,'Mẫu task'!$A$5:$A$64,0)),""))</f>
        <v/>
      </c>
      <c r="F115" s="23" t="str">
        <f aca="false">IF($B115="","",IFERROR(INDEX('Mẫu task'!$E$5:$E$64,MATCH($B115,'Mẫu task'!$A$5:$A$64,0)),""))</f>
        <v/>
      </c>
      <c r="G115" s="19"/>
      <c r="H115" s="20"/>
      <c r="I115" s="14" t="str">
        <f aca="false">IF($B115="","",IFERROR(INDEX('Mẫu task'!$H$5:$H$64,MATCH($B115,'Mẫu task'!$A$5:$A$64,0)),""))</f>
        <v/>
      </c>
      <c r="J115" s="24" t="str">
        <f aca="false">IF(OR($H115="",$I115=""),"",$H115+$I115)</f>
        <v/>
      </c>
      <c r="K115" s="22"/>
      <c r="L115" s="20"/>
      <c r="M115" s="14" t="str">
        <f aca="true">IF($B115="","",IF($K115="Hoàn thành","Xong",IF($K115="Không áp dụng","—",IF($K115="Bị chặn","Bị chặn",IF($O115=1,"TRỄ "&amp;(TODAY()-$J115)&amp;" ngày",IF(AND($K115="Đang làm",$P115&gt;0),"Bước trước chưa xong",IF(AND($J115&lt;&gt;"",N($J115)-TODAY()&lt;=3),"Sắp đến hạn",IF($K115="Đang làm","Đang làm","Chưa bắt đầu"))))))))</f>
        <v/>
      </c>
      <c r="N115" s="25"/>
      <c r="O115" s="26" t="n">
        <f aca="true">IF(AND($B115&lt;&gt;"",$K115&lt;&gt;"Hoàn thành",$K115&lt;&gt;"Không áp dụng",$J115&lt;&gt;""),IF($J115&lt;TODAY(),1,0),0)</f>
        <v>0</v>
      </c>
      <c r="P115" s="26" t="n">
        <f aca="false">IF(AND($B115&lt;&gt;"",$C115&lt;&gt;"",N($C115)&gt;1),COUNTIFS(Task!$A$5:$A$404,$A115,Task!$C$5:$C$404,N($C115)-1,Task!$K$5:$K$404,"&lt;&gt;Hoàn thành",Task!$K$5:$K$404,"&lt;&gt;Không áp dụng"),0)</f>
        <v>0</v>
      </c>
    </row>
    <row r="116" customFormat="false" ht="15" hidden="false" customHeight="false" outlineLevel="0" collapsed="false">
      <c r="A116" s="19"/>
      <c r="B116" s="22"/>
      <c r="C116" s="14" t="str">
        <f aca="false">IF($B116="","",IFERROR(INDEX('Mẫu task'!$B$5:$B$64,MATCH($B116,'Mẫu task'!$A$5:$A$64,0)),""))</f>
        <v/>
      </c>
      <c r="D116" s="15" t="str">
        <f aca="false">IF($C116="","",IFERROR(INDEX('Quy trình'!$B$5:$B$12,MATCH($C116,'Quy trình'!$A$5:$A$12,0)),""))</f>
        <v/>
      </c>
      <c r="E116" s="23" t="str">
        <f aca="false">IF($B116="","",IFERROR(INDEX('Mẫu task'!$D$5:$D$64,MATCH($B116,'Mẫu task'!$A$5:$A$64,0)),""))</f>
        <v/>
      </c>
      <c r="F116" s="23" t="str">
        <f aca="false">IF($B116="","",IFERROR(INDEX('Mẫu task'!$E$5:$E$64,MATCH($B116,'Mẫu task'!$A$5:$A$64,0)),""))</f>
        <v/>
      </c>
      <c r="G116" s="19"/>
      <c r="H116" s="20"/>
      <c r="I116" s="14" t="str">
        <f aca="false">IF($B116="","",IFERROR(INDEX('Mẫu task'!$H$5:$H$64,MATCH($B116,'Mẫu task'!$A$5:$A$64,0)),""))</f>
        <v/>
      </c>
      <c r="J116" s="24" t="str">
        <f aca="false">IF(OR($H116="",$I116=""),"",$H116+$I116)</f>
        <v/>
      </c>
      <c r="K116" s="22"/>
      <c r="L116" s="20"/>
      <c r="M116" s="14" t="str">
        <f aca="true">IF($B116="","",IF($K116="Hoàn thành","Xong",IF($K116="Không áp dụng","—",IF($K116="Bị chặn","Bị chặn",IF($O116=1,"TRỄ "&amp;(TODAY()-$J116)&amp;" ngày",IF(AND($K116="Đang làm",$P116&gt;0),"Bước trước chưa xong",IF(AND($J116&lt;&gt;"",N($J116)-TODAY()&lt;=3),"Sắp đến hạn",IF($K116="Đang làm","Đang làm","Chưa bắt đầu"))))))))</f>
        <v/>
      </c>
      <c r="N116" s="25"/>
      <c r="O116" s="26" t="n">
        <f aca="true">IF(AND($B116&lt;&gt;"",$K116&lt;&gt;"Hoàn thành",$K116&lt;&gt;"Không áp dụng",$J116&lt;&gt;""),IF($J116&lt;TODAY(),1,0),0)</f>
        <v>0</v>
      </c>
      <c r="P116" s="26" t="n">
        <f aca="false">IF(AND($B116&lt;&gt;"",$C116&lt;&gt;"",N($C116)&gt;1),COUNTIFS(Task!$A$5:$A$404,$A116,Task!$C$5:$C$404,N($C116)-1,Task!$K$5:$K$404,"&lt;&gt;Hoàn thành",Task!$K$5:$K$404,"&lt;&gt;Không áp dụng"),0)</f>
        <v>0</v>
      </c>
    </row>
    <row r="117" customFormat="false" ht="15" hidden="false" customHeight="false" outlineLevel="0" collapsed="false">
      <c r="A117" s="19"/>
      <c r="B117" s="22"/>
      <c r="C117" s="14" t="str">
        <f aca="false">IF($B117="","",IFERROR(INDEX('Mẫu task'!$B$5:$B$64,MATCH($B117,'Mẫu task'!$A$5:$A$64,0)),""))</f>
        <v/>
      </c>
      <c r="D117" s="15" t="str">
        <f aca="false">IF($C117="","",IFERROR(INDEX('Quy trình'!$B$5:$B$12,MATCH($C117,'Quy trình'!$A$5:$A$12,0)),""))</f>
        <v/>
      </c>
      <c r="E117" s="23" t="str">
        <f aca="false">IF($B117="","",IFERROR(INDEX('Mẫu task'!$D$5:$D$64,MATCH($B117,'Mẫu task'!$A$5:$A$64,0)),""))</f>
        <v/>
      </c>
      <c r="F117" s="23" t="str">
        <f aca="false">IF($B117="","",IFERROR(INDEX('Mẫu task'!$E$5:$E$64,MATCH($B117,'Mẫu task'!$A$5:$A$64,0)),""))</f>
        <v/>
      </c>
      <c r="G117" s="19"/>
      <c r="H117" s="20"/>
      <c r="I117" s="14" t="str">
        <f aca="false">IF($B117="","",IFERROR(INDEX('Mẫu task'!$H$5:$H$64,MATCH($B117,'Mẫu task'!$A$5:$A$64,0)),""))</f>
        <v/>
      </c>
      <c r="J117" s="24" t="str">
        <f aca="false">IF(OR($H117="",$I117=""),"",$H117+$I117)</f>
        <v/>
      </c>
      <c r="K117" s="22"/>
      <c r="L117" s="20"/>
      <c r="M117" s="14" t="str">
        <f aca="true">IF($B117="","",IF($K117="Hoàn thành","Xong",IF($K117="Không áp dụng","—",IF($K117="Bị chặn","Bị chặn",IF($O117=1,"TRỄ "&amp;(TODAY()-$J117)&amp;" ngày",IF(AND($K117="Đang làm",$P117&gt;0),"Bước trước chưa xong",IF(AND($J117&lt;&gt;"",N($J117)-TODAY()&lt;=3),"Sắp đến hạn",IF($K117="Đang làm","Đang làm","Chưa bắt đầu"))))))))</f>
        <v/>
      </c>
      <c r="N117" s="25"/>
      <c r="O117" s="26" t="n">
        <f aca="true">IF(AND($B117&lt;&gt;"",$K117&lt;&gt;"Hoàn thành",$K117&lt;&gt;"Không áp dụng",$J117&lt;&gt;""),IF($J117&lt;TODAY(),1,0),0)</f>
        <v>0</v>
      </c>
      <c r="P117" s="26" t="n">
        <f aca="false">IF(AND($B117&lt;&gt;"",$C117&lt;&gt;"",N($C117)&gt;1),COUNTIFS(Task!$A$5:$A$404,$A117,Task!$C$5:$C$404,N($C117)-1,Task!$K$5:$K$404,"&lt;&gt;Hoàn thành",Task!$K$5:$K$404,"&lt;&gt;Không áp dụng"),0)</f>
        <v>0</v>
      </c>
    </row>
    <row r="118" customFormat="false" ht="15" hidden="false" customHeight="false" outlineLevel="0" collapsed="false">
      <c r="A118" s="19"/>
      <c r="B118" s="22"/>
      <c r="C118" s="14" t="str">
        <f aca="false">IF($B118="","",IFERROR(INDEX('Mẫu task'!$B$5:$B$64,MATCH($B118,'Mẫu task'!$A$5:$A$64,0)),""))</f>
        <v/>
      </c>
      <c r="D118" s="15" t="str">
        <f aca="false">IF($C118="","",IFERROR(INDEX('Quy trình'!$B$5:$B$12,MATCH($C118,'Quy trình'!$A$5:$A$12,0)),""))</f>
        <v/>
      </c>
      <c r="E118" s="23" t="str">
        <f aca="false">IF($B118="","",IFERROR(INDEX('Mẫu task'!$D$5:$D$64,MATCH($B118,'Mẫu task'!$A$5:$A$64,0)),""))</f>
        <v/>
      </c>
      <c r="F118" s="23" t="str">
        <f aca="false">IF($B118="","",IFERROR(INDEX('Mẫu task'!$E$5:$E$64,MATCH($B118,'Mẫu task'!$A$5:$A$64,0)),""))</f>
        <v/>
      </c>
      <c r="G118" s="19"/>
      <c r="H118" s="20"/>
      <c r="I118" s="14" t="str">
        <f aca="false">IF($B118="","",IFERROR(INDEX('Mẫu task'!$H$5:$H$64,MATCH($B118,'Mẫu task'!$A$5:$A$64,0)),""))</f>
        <v/>
      </c>
      <c r="J118" s="24" t="str">
        <f aca="false">IF(OR($H118="",$I118=""),"",$H118+$I118)</f>
        <v/>
      </c>
      <c r="K118" s="22"/>
      <c r="L118" s="20"/>
      <c r="M118" s="14" t="str">
        <f aca="true">IF($B118="","",IF($K118="Hoàn thành","Xong",IF($K118="Không áp dụng","—",IF($K118="Bị chặn","Bị chặn",IF($O118=1,"TRỄ "&amp;(TODAY()-$J118)&amp;" ngày",IF(AND($K118="Đang làm",$P118&gt;0),"Bước trước chưa xong",IF(AND($J118&lt;&gt;"",N($J118)-TODAY()&lt;=3),"Sắp đến hạn",IF($K118="Đang làm","Đang làm","Chưa bắt đầu"))))))))</f>
        <v/>
      </c>
      <c r="N118" s="25"/>
      <c r="O118" s="26" t="n">
        <f aca="true">IF(AND($B118&lt;&gt;"",$K118&lt;&gt;"Hoàn thành",$K118&lt;&gt;"Không áp dụng",$J118&lt;&gt;""),IF($J118&lt;TODAY(),1,0),0)</f>
        <v>0</v>
      </c>
      <c r="P118" s="26" t="n">
        <f aca="false">IF(AND($B118&lt;&gt;"",$C118&lt;&gt;"",N($C118)&gt;1),COUNTIFS(Task!$A$5:$A$404,$A118,Task!$C$5:$C$404,N($C118)-1,Task!$K$5:$K$404,"&lt;&gt;Hoàn thành",Task!$K$5:$K$404,"&lt;&gt;Không áp dụng"),0)</f>
        <v>0</v>
      </c>
    </row>
    <row r="119" customFormat="false" ht="15" hidden="false" customHeight="false" outlineLevel="0" collapsed="false">
      <c r="A119" s="19"/>
      <c r="B119" s="22"/>
      <c r="C119" s="14" t="str">
        <f aca="false">IF($B119="","",IFERROR(INDEX('Mẫu task'!$B$5:$B$64,MATCH($B119,'Mẫu task'!$A$5:$A$64,0)),""))</f>
        <v/>
      </c>
      <c r="D119" s="15" t="str">
        <f aca="false">IF($C119="","",IFERROR(INDEX('Quy trình'!$B$5:$B$12,MATCH($C119,'Quy trình'!$A$5:$A$12,0)),""))</f>
        <v/>
      </c>
      <c r="E119" s="23" t="str">
        <f aca="false">IF($B119="","",IFERROR(INDEX('Mẫu task'!$D$5:$D$64,MATCH($B119,'Mẫu task'!$A$5:$A$64,0)),""))</f>
        <v/>
      </c>
      <c r="F119" s="23" t="str">
        <f aca="false">IF($B119="","",IFERROR(INDEX('Mẫu task'!$E$5:$E$64,MATCH($B119,'Mẫu task'!$A$5:$A$64,0)),""))</f>
        <v/>
      </c>
      <c r="G119" s="19"/>
      <c r="H119" s="20"/>
      <c r="I119" s="14" t="str">
        <f aca="false">IF($B119="","",IFERROR(INDEX('Mẫu task'!$H$5:$H$64,MATCH($B119,'Mẫu task'!$A$5:$A$64,0)),""))</f>
        <v/>
      </c>
      <c r="J119" s="24" t="str">
        <f aca="false">IF(OR($H119="",$I119=""),"",$H119+$I119)</f>
        <v/>
      </c>
      <c r="K119" s="22"/>
      <c r="L119" s="20"/>
      <c r="M119" s="14" t="str">
        <f aca="true">IF($B119="","",IF($K119="Hoàn thành","Xong",IF($K119="Không áp dụng","—",IF($K119="Bị chặn","Bị chặn",IF($O119=1,"TRỄ "&amp;(TODAY()-$J119)&amp;" ngày",IF(AND($K119="Đang làm",$P119&gt;0),"Bước trước chưa xong",IF(AND($J119&lt;&gt;"",N($J119)-TODAY()&lt;=3),"Sắp đến hạn",IF($K119="Đang làm","Đang làm","Chưa bắt đầu"))))))))</f>
        <v/>
      </c>
      <c r="N119" s="25"/>
      <c r="O119" s="26" t="n">
        <f aca="true">IF(AND($B119&lt;&gt;"",$K119&lt;&gt;"Hoàn thành",$K119&lt;&gt;"Không áp dụng",$J119&lt;&gt;""),IF($J119&lt;TODAY(),1,0),0)</f>
        <v>0</v>
      </c>
      <c r="P119" s="26" t="n">
        <f aca="false">IF(AND($B119&lt;&gt;"",$C119&lt;&gt;"",N($C119)&gt;1),COUNTIFS(Task!$A$5:$A$404,$A119,Task!$C$5:$C$404,N($C119)-1,Task!$K$5:$K$404,"&lt;&gt;Hoàn thành",Task!$K$5:$K$404,"&lt;&gt;Không áp dụng"),0)</f>
        <v>0</v>
      </c>
    </row>
    <row r="120" customFormat="false" ht="15" hidden="false" customHeight="false" outlineLevel="0" collapsed="false">
      <c r="A120" s="19"/>
      <c r="B120" s="22"/>
      <c r="C120" s="14" t="str">
        <f aca="false">IF($B120="","",IFERROR(INDEX('Mẫu task'!$B$5:$B$64,MATCH($B120,'Mẫu task'!$A$5:$A$64,0)),""))</f>
        <v/>
      </c>
      <c r="D120" s="15" t="str">
        <f aca="false">IF($C120="","",IFERROR(INDEX('Quy trình'!$B$5:$B$12,MATCH($C120,'Quy trình'!$A$5:$A$12,0)),""))</f>
        <v/>
      </c>
      <c r="E120" s="23" t="str">
        <f aca="false">IF($B120="","",IFERROR(INDEX('Mẫu task'!$D$5:$D$64,MATCH($B120,'Mẫu task'!$A$5:$A$64,0)),""))</f>
        <v/>
      </c>
      <c r="F120" s="23" t="str">
        <f aca="false">IF($B120="","",IFERROR(INDEX('Mẫu task'!$E$5:$E$64,MATCH($B120,'Mẫu task'!$A$5:$A$64,0)),""))</f>
        <v/>
      </c>
      <c r="G120" s="19"/>
      <c r="H120" s="20"/>
      <c r="I120" s="14" t="str">
        <f aca="false">IF($B120="","",IFERROR(INDEX('Mẫu task'!$H$5:$H$64,MATCH($B120,'Mẫu task'!$A$5:$A$64,0)),""))</f>
        <v/>
      </c>
      <c r="J120" s="24" t="str">
        <f aca="false">IF(OR($H120="",$I120=""),"",$H120+$I120)</f>
        <v/>
      </c>
      <c r="K120" s="22"/>
      <c r="L120" s="20"/>
      <c r="M120" s="14" t="str">
        <f aca="true">IF($B120="","",IF($K120="Hoàn thành","Xong",IF($K120="Không áp dụng","—",IF($K120="Bị chặn","Bị chặn",IF($O120=1,"TRỄ "&amp;(TODAY()-$J120)&amp;" ngày",IF(AND($K120="Đang làm",$P120&gt;0),"Bước trước chưa xong",IF(AND($J120&lt;&gt;"",N($J120)-TODAY()&lt;=3),"Sắp đến hạn",IF($K120="Đang làm","Đang làm","Chưa bắt đầu"))))))))</f>
        <v/>
      </c>
      <c r="N120" s="25"/>
      <c r="O120" s="26" t="n">
        <f aca="true">IF(AND($B120&lt;&gt;"",$K120&lt;&gt;"Hoàn thành",$K120&lt;&gt;"Không áp dụng",$J120&lt;&gt;""),IF($J120&lt;TODAY(),1,0),0)</f>
        <v>0</v>
      </c>
      <c r="P120" s="26" t="n">
        <f aca="false">IF(AND($B120&lt;&gt;"",$C120&lt;&gt;"",N($C120)&gt;1),COUNTIFS(Task!$A$5:$A$404,$A120,Task!$C$5:$C$404,N($C120)-1,Task!$K$5:$K$404,"&lt;&gt;Hoàn thành",Task!$K$5:$K$404,"&lt;&gt;Không áp dụng"),0)</f>
        <v>0</v>
      </c>
    </row>
    <row r="121" customFormat="false" ht="15" hidden="false" customHeight="false" outlineLevel="0" collapsed="false">
      <c r="A121" s="19"/>
      <c r="B121" s="22"/>
      <c r="C121" s="14" t="str">
        <f aca="false">IF($B121="","",IFERROR(INDEX('Mẫu task'!$B$5:$B$64,MATCH($B121,'Mẫu task'!$A$5:$A$64,0)),""))</f>
        <v/>
      </c>
      <c r="D121" s="15" t="str">
        <f aca="false">IF($C121="","",IFERROR(INDEX('Quy trình'!$B$5:$B$12,MATCH($C121,'Quy trình'!$A$5:$A$12,0)),""))</f>
        <v/>
      </c>
      <c r="E121" s="23" t="str">
        <f aca="false">IF($B121="","",IFERROR(INDEX('Mẫu task'!$D$5:$D$64,MATCH($B121,'Mẫu task'!$A$5:$A$64,0)),""))</f>
        <v/>
      </c>
      <c r="F121" s="23" t="str">
        <f aca="false">IF($B121="","",IFERROR(INDEX('Mẫu task'!$E$5:$E$64,MATCH($B121,'Mẫu task'!$A$5:$A$64,0)),""))</f>
        <v/>
      </c>
      <c r="G121" s="19"/>
      <c r="H121" s="20"/>
      <c r="I121" s="14" t="str">
        <f aca="false">IF($B121="","",IFERROR(INDEX('Mẫu task'!$H$5:$H$64,MATCH($B121,'Mẫu task'!$A$5:$A$64,0)),""))</f>
        <v/>
      </c>
      <c r="J121" s="24" t="str">
        <f aca="false">IF(OR($H121="",$I121=""),"",$H121+$I121)</f>
        <v/>
      </c>
      <c r="K121" s="22"/>
      <c r="L121" s="20"/>
      <c r="M121" s="14" t="str">
        <f aca="true">IF($B121="","",IF($K121="Hoàn thành","Xong",IF($K121="Không áp dụng","—",IF($K121="Bị chặn","Bị chặn",IF($O121=1,"TRỄ "&amp;(TODAY()-$J121)&amp;" ngày",IF(AND($K121="Đang làm",$P121&gt;0),"Bước trước chưa xong",IF(AND($J121&lt;&gt;"",N($J121)-TODAY()&lt;=3),"Sắp đến hạn",IF($K121="Đang làm","Đang làm","Chưa bắt đầu"))))))))</f>
        <v/>
      </c>
      <c r="N121" s="25"/>
      <c r="O121" s="26" t="n">
        <f aca="true">IF(AND($B121&lt;&gt;"",$K121&lt;&gt;"Hoàn thành",$K121&lt;&gt;"Không áp dụng",$J121&lt;&gt;""),IF($J121&lt;TODAY(),1,0),0)</f>
        <v>0</v>
      </c>
      <c r="P121" s="26" t="n">
        <f aca="false">IF(AND($B121&lt;&gt;"",$C121&lt;&gt;"",N($C121)&gt;1),COUNTIFS(Task!$A$5:$A$404,$A121,Task!$C$5:$C$404,N($C121)-1,Task!$K$5:$K$404,"&lt;&gt;Hoàn thành",Task!$K$5:$K$404,"&lt;&gt;Không áp dụng"),0)</f>
        <v>0</v>
      </c>
    </row>
    <row r="122" customFormat="false" ht="15" hidden="false" customHeight="false" outlineLevel="0" collapsed="false">
      <c r="A122" s="19"/>
      <c r="B122" s="22"/>
      <c r="C122" s="14" t="str">
        <f aca="false">IF($B122="","",IFERROR(INDEX('Mẫu task'!$B$5:$B$64,MATCH($B122,'Mẫu task'!$A$5:$A$64,0)),""))</f>
        <v/>
      </c>
      <c r="D122" s="15" t="str">
        <f aca="false">IF($C122="","",IFERROR(INDEX('Quy trình'!$B$5:$B$12,MATCH($C122,'Quy trình'!$A$5:$A$12,0)),""))</f>
        <v/>
      </c>
      <c r="E122" s="23" t="str">
        <f aca="false">IF($B122="","",IFERROR(INDEX('Mẫu task'!$D$5:$D$64,MATCH($B122,'Mẫu task'!$A$5:$A$64,0)),""))</f>
        <v/>
      </c>
      <c r="F122" s="23" t="str">
        <f aca="false">IF($B122="","",IFERROR(INDEX('Mẫu task'!$E$5:$E$64,MATCH($B122,'Mẫu task'!$A$5:$A$64,0)),""))</f>
        <v/>
      </c>
      <c r="G122" s="19"/>
      <c r="H122" s="20"/>
      <c r="I122" s="14" t="str">
        <f aca="false">IF($B122="","",IFERROR(INDEX('Mẫu task'!$H$5:$H$64,MATCH($B122,'Mẫu task'!$A$5:$A$64,0)),""))</f>
        <v/>
      </c>
      <c r="J122" s="24" t="str">
        <f aca="false">IF(OR($H122="",$I122=""),"",$H122+$I122)</f>
        <v/>
      </c>
      <c r="K122" s="22"/>
      <c r="L122" s="20"/>
      <c r="M122" s="14" t="str">
        <f aca="true">IF($B122="","",IF($K122="Hoàn thành","Xong",IF($K122="Không áp dụng","—",IF($K122="Bị chặn","Bị chặn",IF($O122=1,"TRỄ "&amp;(TODAY()-$J122)&amp;" ngày",IF(AND($K122="Đang làm",$P122&gt;0),"Bước trước chưa xong",IF(AND($J122&lt;&gt;"",N($J122)-TODAY()&lt;=3),"Sắp đến hạn",IF($K122="Đang làm","Đang làm","Chưa bắt đầu"))))))))</f>
        <v/>
      </c>
      <c r="N122" s="25"/>
      <c r="O122" s="26" t="n">
        <f aca="true">IF(AND($B122&lt;&gt;"",$K122&lt;&gt;"Hoàn thành",$K122&lt;&gt;"Không áp dụng",$J122&lt;&gt;""),IF($J122&lt;TODAY(),1,0),0)</f>
        <v>0</v>
      </c>
      <c r="P122" s="26" t="n">
        <f aca="false">IF(AND($B122&lt;&gt;"",$C122&lt;&gt;"",N($C122)&gt;1),COUNTIFS(Task!$A$5:$A$404,$A122,Task!$C$5:$C$404,N($C122)-1,Task!$K$5:$K$404,"&lt;&gt;Hoàn thành",Task!$K$5:$K$404,"&lt;&gt;Không áp dụng"),0)</f>
        <v>0</v>
      </c>
    </row>
    <row r="123" customFormat="false" ht="15" hidden="false" customHeight="false" outlineLevel="0" collapsed="false">
      <c r="A123" s="19"/>
      <c r="B123" s="22"/>
      <c r="C123" s="14" t="str">
        <f aca="false">IF($B123="","",IFERROR(INDEX('Mẫu task'!$B$5:$B$64,MATCH($B123,'Mẫu task'!$A$5:$A$64,0)),""))</f>
        <v/>
      </c>
      <c r="D123" s="15" t="str">
        <f aca="false">IF($C123="","",IFERROR(INDEX('Quy trình'!$B$5:$B$12,MATCH($C123,'Quy trình'!$A$5:$A$12,0)),""))</f>
        <v/>
      </c>
      <c r="E123" s="23" t="str">
        <f aca="false">IF($B123="","",IFERROR(INDEX('Mẫu task'!$D$5:$D$64,MATCH($B123,'Mẫu task'!$A$5:$A$64,0)),""))</f>
        <v/>
      </c>
      <c r="F123" s="23" t="str">
        <f aca="false">IF($B123="","",IFERROR(INDEX('Mẫu task'!$E$5:$E$64,MATCH($B123,'Mẫu task'!$A$5:$A$64,0)),""))</f>
        <v/>
      </c>
      <c r="G123" s="19"/>
      <c r="H123" s="20"/>
      <c r="I123" s="14" t="str">
        <f aca="false">IF($B123="","",IFERROR(INDEX('Mẫu task'!$H$5:$H$64,MATCH($B123,'Mẫu task'!$A$5:$A$64,0)),""))</f>
        <v/>
      </c>
      <c r="J123" s="24" t="str">
        <f aca="false">IF(OR($H123="",$I123=""),"",$H123+$I123)</f>
        <v/>
      </c>
      <c r="K123" s="22"/>
      <c r="L123" s="20"/>
      <c r="M123" s="14" t="str">
        <f aca="true">IF($B123="","",IF($K123="Hoàn thành","Xong",IF($K123="Không áp dụng","—",IF($K123="Bị chặn","Bị chặn",IF($O123=1,"TRỄ "&amp;(TODAY()-$J123)&amp;" ngày",IF(AND($K123="Đang làm",$P123&gt;0),"Bước trước chưa xong",IF(AND($J123&lt;&gt;"",N($J123)-TODAY()&lt;=3),"Sắp đến hạn",IF($K123="Đang làm","Đang làm","Chưa bắt đầu"))))))))</f>
        <v/>
      </c>
      <c r="N123" s="25"/>
      <c r="O123" s="26" t="n">
        <f aca="true">IF(AND($B123&lt;&gt;"",$K123&lt;&gt;"Hoàn thành",$K123&lt;&gt;"Không áp dụng",$J123&lt;&gt;""),IF($J123&lt;TODAY(),1,0),0)</f>
        <v>0</v>
      </c>
      <c r="P123" s="26" t="n">
        <f aca="false">IF(AND($B123&lt;&gt;"",$C123&lt;&gt;"",N($C123)&gt;1),COUNTIFS(Task!$A$5:$A$404,$A123,Task!$C$5:$C$404,N($C123)-1,Task!$K$5:$K$404,"&lt;&gt;Hoàn thành",Task!$K$5:$K$404,"&lt;&gt;Không áp dụng"),0)</f>
        <v>0</v>
      </c>
    </row>
    <row r="124" customFormat="false" ht="15" hidden="false" customHeight="false" outlineLevel="0" collapsed="false">
      <c r="A124" s="19"/>
      <c r="B124" s="22"/>
      <c r="C124" s="14" t="str">
        <f aca="false">IF($B124="","",IFERROR(INDEX('Mẫu task'!$B$5:$B$64,MATCH($B124,'Mẫu task'!$A$5:$A$64,0)),""))</f>
        <v/>
      </c>
      <c r="D124" s="15" t="str">
        <f aca="false">IF($C124="","",IFERROR(INDEX('Quy trình'!$B$5:$B$12,MATCH($C124,'Quy trình'!$A$5:$A$12,0)),""))</f>
        <v/>
      </c>
      <c r="E124" s="23" t="str">
        <f aca="false">IF($B124="","",IFERROR(INDEX('Mẫu task'!$D$5:$D$64,MATCH($B124,'Mẫu task'!$A$5:$A$64,0)),""))</f>
        <v/>
      </c>
      <c r="F124" s="23" t="str">
        <f aca="false">IF($B124="","",IFERROR(INDEX('Mẫu task'!$E$5:$E$64,MATCH($B124,'Mẫu task'!$A$5:$A$64,0)),""))</f>
        <v/>
      </c>
      <c r="G124" s="19"/>
      <c r="H124" s="20"/>
      <c r="I124" s="14" t="str">
        <f aca="false">IF($B124="","",IFERROR(INDEX('Mẫu task'!$H$5:$H$64,MATCH($B124,'Mẫu task'!$A$5:$A$64,0)),""))</f>
        <v/>
      </c>
      <c r="J124" s="24" t="str">
        <f aca="false">IF(OR($H124="",$I124=""),"",$H124+$I124)</f>
        <v/>
      </c>
      <c r="K124" s="22"/>
      <c r="L124" s="20"/>
      <c r="M124" s="14" t="str">
        <f aca="true">IF($B124="","",IF($K124="Hoàn thành","Xong",IF($K124="Không áp dụng","—",IF($K124="Bị chặn","Bị chặn",IF($O124=1,"TRỄ "&amp;(TODAY()-$J124)&amp;" ngày",IF(AND($K124="Đang làm",$P124&gt;0),"Bước trước chưa xong",IF(AND($J124&lt;&gt;"",N($J124)-TODAY()&lt;=3),"Sắp đến hạn",IF($K124="Đang làm","Đang làm","Chưa bắt đầu"))))))))</f>
        <v/>
      </c>
      <c r="N124" s="25"/>
      <c r="O124" s="26" t="n">
        <f aca="true">IF(AND($B124&lt;&gt;"",$K124&lt;&gt;"Hoàn thành",$K124&lt;&gt;"Không áp dụng",$J124&lt;&gt;""),IF($J124&lt;TODAY(),1,0),0)</f>
        <v>0</v>
      </c>
      <c r="P124" s="26" t="n">
        <f aca="false">IF(AND($B124&lt;&gt;"",$C124&lt;&gt;"",N($C124)&gt;1),COUNTIFS(Task!$A$5:$A$404,$A124,Task!$C$5:$C$404,N($C124)-1,Task!$K$5:$K$404,"&lt;&gt;Hoàn thành",Task!$K$5:$K$404,"&lt;&gt;Không áp dụng"),0)</f>
        <v>0</v>
      </c>
    </row>
    <row r="125" customFormat="false" ht="15" hidden="false" customHeight="false" outlineLevel="0" collapsed="false">
      <c r="A125" s="19"/>
      <c r="B125" s="22"/>
      <c r="C125" s="14" t="str">
        <f aca="false">IF($B125="","",IFERROR(INDEX('Mẫu task'!$B$5:$B$64,MATCH($B125,'Mẫu task'!$A$5:$A$64,0)),""))</f>
        <v/>
      </c>
      <c r="D125" s="15" t="str">
        <f aca="false">IF($C125="","",IFERROR(INDEX('Quy trình'!$B$5:$B$12,MATCH($C125,'Quy trình'!$A$5:$A$12,0)),""))</f>
        <v/>
      </c>
      <c r="E125" s="23" t="str">
        <f aca="false">IF($B125="","",IFERROR(INDEX('Mẫu task'!$D$5:$D$64,MATCH($B125,'Mẫu task'!$A$5:$A$64,0)),""))</f>
        <v/>
      </c>
      <c r="F125" s="23" t="str">
        <f aca="false">IF($B125="","",IFERROR(INDEX('Mẫu task'!$E$5:$E$64,MATCH($B125,'Mẫu task'!$A$5:$A$64,0)),""))</f>
        <v/>
      </c>
      <c r="G125" s="19"/>
      <c r="H125" s="20"/>
      <c r="I125" s="14" t="str">
        <f aca="false">IF($B125="","",IFERROR(INDEX('Mẫu task'!$H$5:$H$64,MATCH($B125,'Mẫu task'!$A$5:$A$64,0)),""))</f>
        <v/>
      </c>
      <c r="J125" s="24" t="str">
        <f aca="false">IF(OR($H125="",$I125=""),"",$H125+$I125)</f>
        <v/>
      </c>
      <c r="K125" s="22"/>
      <c r="L125" s="20"/>
      <c r="M125" s="14" t="str">
        <f aca="true">IF($B125="","",IF($K125="Hoàn thành","Xong",IF($K125="Không áp dụng","—",IF($K125="Bị chặn","Bị chặn",IF($O125=1,"TRỄ "&amp;(TODAY()-$J125)&amp;" ngày",IF(AND($K125="Đang làm",$P125&gt;0),"Bước trước chưa xong",IF(AND($J125&lt;&gt;"",N($J125)-TODAY()&lt;=3),"Sắp đến hạn",IF($K125="Đang làm","Đang làm","Chưa bắt đầu"))))))))</f>
        <v/>
      </c>
      <c r="N125" s="25"/>
      <c r="O125" s="26" t="n">
        <f aca="true">IF(AND($B125&lt;&gt;"",$K125&lt;&gt;"Hoàn thành",$K125&lt;&gt;"Không áp dụng",$J125&lt;&gt;""),IF($J125&lt;TODAY(),1,0),0)</f>
        <v>0</v>
      </c>
      <c r="P125" s="26" t="n">
        <f aca="false">IF(AND($B125&lt;&gt;"",$C125&lt;&gt;"",N($C125)&gt;1),COUNTIFS(Task!$A$5:$A$404,$A125,Task!$C$5:$C$404,N($C125)-1,Task!$K$5:$K$404,"&lt;&gt;Hoàn thành",Task!$K$5:$K$404,"&lt;&gt;Không áp dụng"),0)</f>
        <v>0</v>
      </c>
    </row>
    <row r="126" customFormat="false" ht="15" hidden="false" customHeight="false" outlineLevel="0" collapsed="false">
      <c r="A126" s="19"/>
      <c r="B126" s="22"/>
      <c r="C126" s="14" t="str">
        <f aca="false">IF($B126="","",IFERROR(INDEX('Mẫu task'!$B$5:$B$64,MATCH($B126,'Mẫu task'!$A$5:$A$64,0)),""))</f>
        <v/>
      </c>
      <c r="D126" s="15" t="str">
        <f aca="false">IF($C126="","",IFERROR(INDEX('Quy trình'!$B$5:$B$12,MATCH($C126,'Quy trình'!$A$5:$A$12,0)),""))</f>
        <v/>
      </c>
      <c r="E126" s="23" t="str">
        <f aca="false">IF($B126="","",IFERROR(INDEX('Mẫu task'!$D$5:$D$64,MATCH($B126,'Mẫu task'!$A$5:$A$64,0)),""))</f>
        <v/>
      </c>
      <c r="F126" s="23" t="str">
        <f aca="false">IF($B126="","",IFERROR(INDEX('Mẫu task'!$E$5:$E$64,MATCH($B126,'Mẫu task'!$A$5:$A$64,0)),""))</f>
        <v/>
      </c>
      <c r="G126" s="19"/>
      <c r="H126" s="20"/>
      <c r="I126" s="14" t="str">
        <f aca="false">IF($B126="","",IFERROR(INDEX('Mẫu task'!$H$5:$H$64,MATCH($B126,'Mẫu task'!$A$5:$A$64,0)),""))</f>
        <v/>
      </c>
      <c r="J126" s="24" t="str">
        <f aca="false">IF(OR($H126="",$I126=""),"",$H126+$I126)</f>
        <v/>
      </c>
      <c r="K126" s="22"/>
      <c r="L126" s="20"/>
      <c r="M126" s="14" t="str">
        <f aca="true">IF($B126="","",IF($K126="Hoàn thành","Xong",IF($K126="Không áp dụng","—",IF($K126="Bị chặn","Bị chặn",IF($O126=1,"TRỄ "&amp;(TODAY()-$J126)&amp;" ngày",IF(AND($K126="Đang làm",$P126&gt;0),"Bước trước chưa xong",IF(AND($J126&lt;&gt;"",N($J126)-TODAY()&lt;=3),"Sắp đến hạn",IF($K126="Đang làm","Đang làm","Chưa bắt đầu"))))))))</f>
        <v/>
      </c>
      <c r="N126" s="25"/>
      <c r="O126" s="26" t="n">
        <f aca="true">IF(AND($B126&lt;&gt;"",$K126&lt;&gt;"Hoàn thành",$K126&lt;&gt;"Không áp dụng",$J126&lt;&gt;""),IF($J126&lt;TODAY(),1,0),0)</f>
        <v>0</v>
      </c>
      <c r="P126" s="26" t="n">
        <f aca="false">IF(AND($B126&lt;&gt;"",$C126&lt;&gt;"",N($C126)&gt;1),COUNTIFS(Task!$A$5:$A$404,$A126,Task!$C$5:$C$404,N($C126)-1,Task!$K$5:$K$404,"&lt;&gt;Hoàn thành",Task!$K$5:$K$404,"&lt;&gt;Không áp dụng"),0)</f>
        <v>0</v>
      </c>
    </row>
    <row r="127" customFormat="false" ht="15" hidden="false" customHeight="false" outlineLevel="0" collapsed="false">
      <c r="A127" s="19"/>
      <c r="B127" s="22"/>
      <c r="C127" s="14" t="str">
        <f aca="false">IF($B127="","",IFERROR(INDEX('Mẫu task'!$B$5:$B$64,MATCH($B127,'Mẫu task'!$A$5:$A$64,0)),""))</f>
        <v/>
      </c>
      <c r="D127" s="15" t="str">
        <f aca="false">IF($C127="","",IFERROR(INDEX('Quy trình'!$B$5:$B$12,MATCH($C127,'Quy trình'!$A$5:$A$12,0)),""))</f>
        <v/>
      </c>
      <c r="E127" s="23" t="str">
        <f aca="false">IF($B127="","",IFERROR(INDEX('Mẫu task'!$D$5:$D$64,MATCH($B127,'Mẫu task'!$A$5:$A$64,0)),""))</f>
        <v/>
      </c>
      <c r="F127" s="23" t="str">
        <f aca="false">IF($B127="","",IFERROR(INDEX('Mẫu task'!$E$5:$E$64,MATCH($B127,'Mẫu task'!$A$5:$A$64,0)),""))</f>
        <v/>
      </c>
      <c r="G127" s="19"/>
      <c r="H127" s="20"/>
      <c r="I127" s="14" t="str">
        <f aca="false">IF($B127="","",IFERROR(INDEX('Mẫu task'!$H$5:$H$64,MATCH($B127,'Mẫu task'!$A$5:$A$64,0)),""))</f>
        <v/>
      </c>
      <c r="J127" s="24" t="str">
        <f aca="false">IF(OR($H127="",$I127=""),"",$H127+$I127)</f>
        <v/>
      </c>
      <c r="K127" s="22"/>
      <c r="L127" s="20"/>
      <c r="M127" s="14" t="str">
        <f aca="true">IF($B127="","",IF($K127="Hoàn thành","Xong",IF($K127="Không áp dụng","—",IF($K127="Bị chặn","Bị chặn",IF($O127=1,"TRỄ "&amp;(TODAY()-$J127)&amp;" ngày",IF(AND($K127="Đang làm",$P127&gt;0),"Bước trước chưa xong",IF(AND($J127&lt;&gt;"",N($J127)-TODAY()&lt;=3),"Sắp đến hạn",IF($K127="Đang làm","Đang làm","Chưa bắt đầu"))))))))</f>
        <v/>
      </c>
      <c r="N127" s="25"/>
      <c r="O127" s="26" t="n">
        <f aca="true">IF(AND($B127&lt;&gt;"",$K127&lt;&gt;"Hoàn thành",$K127&lt;&gt;"Không áp dụng",$J127&lt;&gt;""),IF($J127&lt;TODAY(),1,0),0)</f>
        <v>0</v>
      </c>
      <c r="P127" s="26" t="n">
        <f aca="false">IF(AND($B127&lt;&gt;"",$C127&lt;&gt;"",N($C127)&gt;1),COUNTIFS(Task!$A$5:$A$404,$A127,Task!$C$5:$C$404,N($C127)-1,Task!$K$5:$K$404,"&lt;&gt;Hoàn thành",Task!$K$5:$K$404,"&lt;&gt;Không áp dụng"),0)</f>
        <v>0</v>
      </c>
    </row>
    <row r="128" customFormat="false" ht="15" hidden="false" customHeight="false" outlineLevel="0" collapsed="false">
      <c r="A128" s="19"/>
      <c r="B128" s="22"/>
      <c r="C128" s="14" t="str">
        <f aca="false">IF($B128="","",IFERROR(INDEX('Mẫu task'!$B$5:$B$64,MATCH($B128,'Mẫu task'!$A$5:$A$64,0)),""))</f>
        <v/>
      </c>
      <c r="D128" s="15" t="str">
        <f aca="false">IF($C128="","",IFERROR(INDEX('Quy trình'!$B$5:$B$12,MATCH($C128,'Quy trình'!$A$5:$A$12,0)),""))</f>
        <v/>
      </c>
      <c r="E128" s="23" t="str">
        <f aca="false">IF($B128="","",IFERROR(INDEX('Mẫu task'!$D$5:$D$64,MATCH($B128,'Mẫu task'!$A$5:$A$64,0)),""))</f>
        <v/>
      </c>
      <c r="F128" s="23" t="str">
        <f aca="false">IF($B128="","",IFERROR(INDEX('Mẫu task'!$E$5:$E$64,MATCH($B128,'Mẫu task'!$A$5:$A$64,0)),""))</f>
        <v/>
      </c>
      <c r="G128" s="19"/>
      <c r="H128" s="20"/>
      <c r="I128" s="14" t="str">
        <f aca="false">IF($B128="","",IFERROR(INDEX('Mẫu task'!$H$5:$H$64,MATCH($B128,'Mẫu task'!$A$5:$A$64,0)),""))</f>
        <v/>
      </c>
      <c r="J128" s="24" t="str">
        <f aca="false">IF(OR($H128="",$I128=""),"",$H128+$I128)</f>
        <v/>
      </c>
      <c r="K128" s="22"/>
      <c r="L128" s="20"/>
      <c r="M128" s="14" t="str">
        <f aca="true">IF($B128="","",IF($K128="Hoàn thành","Xong",IF($K128="Không áp dụng","—",IF($K128="Bị chặn","Bị chặn",IF($O128=1,"TRỄ "&amp;(TODAY()-$J128)&amp;" ngày",IF(AND($K128="Đang làm",$P128&gt;0),"Bước trước chưa xong",IF(AND($J128&lt;&gt;"",N($J128)-TODAY()&lt;=3),"Sắp đến hạn",IF($K128="Đang làm","Đang làm","Chưa bắt đầu"))))))))</f>
        <v/>
      </c>
      <c r="N128" s="25"/>
      <c r="O128" s="26" t="n">
        <f aca="true">IF(AND($B128&lt;&gt;"",$K128&lt;&gt;"Hoàn thành",$K128&lt;&gt;"Không áp dụng",$J128&lt;&gt;""),IF($J128&lt;TODAY(),1,0),0)</f>
        <v>0</v>
      </c>
      <c r="P128" s="26" t="n">
        <f aca="false">IF(AND($B128&lt;&gt;"",$C128&lt;&gt;"",N($C128)&gt;1),COUNTIFS(Task!$A$5:$A$404,$A128,Task!$C$5:$C$404,N($C128)-1,Task!$K$5:$K$404,"&lt;&gt;Hoàn thành",Task!$K$5:$K$404,"&lt;&gt;Không áp dụng"),0)</f>
        <v>0</v>
      </c>
    </row>
    <row r="129" customFormat="false" ht="15" hidden="false" customHeight="false" outlineLevel="0" collapsed="false">
      <c r="A129" s="19"/>
      <c r="B129" s="22"/>
      <c r="C129" s="14" t="str">
        <f aca="false">IF($B129="","",IFERROR(INDEX('Mẫu task'!$B$5:$B$64,MATCH($B129,'Mẫu task'!$A$5:$A$64,0)),""))</f>
        <v/>
      </c>
      <c r="D129" s="15" t="str">
        <f aca="false">IF($C129="","",IFERROR(INDEX('Quy trình'!$B$5:$B$12,MATCH($C129,'Quy trình'!$A$5:$A$12,0)),""))</f>
        <v/>
      </c>
      <c r="E129" s="23" t="str">
        <f aca="false">IF($B129="","",IFERROR(INDEX('Mẫu task'!$D$5:$D$64,MATCH($B129,'Mẫu task'!$A$5:$A$64,0)),""))</f>
        <v/>
      </c>
      <c r="F129" s="23" t="str">
        <f aca="false">IF($B129="","",IFERROR(INDEX('Mẫu task'!$E$5:$E$64,MATCH($B129,'Mẫu task'!$A$5:$A$64,0)),""))</f>
        <v/>
      </c>
      <c r="G129" s="19"/>
      <c r="H129" s="20"/>
      <c r="I129" s="14" t="str">
        <f aca="false">IF($B129="","",IFERROR(INDEX('Mẫu task'!$H$5:$H$64,MATCH($B129,'Mẫu task'!$A$5:$A$64,0)),""))</f>
        <v/>
      </c>
      <c r="J129" s="24" t="str">
        <f aca="false">IF(OR($H129="",$I129=""),"",$H129+$I129)</f>
        <v/>
      </c>
      <c r="K129" s="22"/>
      <c r="L129" s="20"/>
      <c r="M129" s="14" t="str">
        <f aca="true">IF($B129="","",IF($K129="Hoàn thành","Xong",IF($K129="Không áp dụng","—",IF($K129="Bị chặn","Bị chặn",IF($O129=1,"TRỄ "&amp;(TODAY()-$J129)&amp;" ngày",IF(AND($K129="Đang làm",$P129&gt;0),"Bước trước chưa xong",IF(AND($J129&lt;&gt;"",N($J129)-TODAY()&lt;=3),"Sắp đến hạn",IF($K129="Đang làm","Đang làm","Chưa bắt đầu"))))))))</f>
        <v/>
      </c>
      <c r="N129" s="25"/>
      <c r="O129" s="26" t="n">
        <f aca="true">IF(AND($B129&lt;&gt;"",$K129&lt;&gt;"Hoàn thành",$K129&lt;&gt;"Không áp dụng",$J129&lt;&gt;""),IF($J129&lt;TODAY(),1,0),0)</f>
        <v>0</v>
      </c>
      <c r="P129" s="26" t="n">
        <f aca="false">IF(AND($B129&lt;&gt;"",$C129&lt;&gt;"",N($C129)&gt;1),COUNTIFS(Task!$A$5:$A$404,$A129,Task!$C$5:$C$404,N($C129)-1,Task!$K$5:$K$404,"&lt;&gt;Hoàn thành",Task!$K$5:$K$404,"&lt;&gt;Không áp dụng"),0)</f>
        <v>0</v>
      </c>
    </row>
    <row r="130" customFormat="false" ht="15" hidden="false" customHeight="false" outlineLevel="0" collapsed="false">
      <c r="A130" s="19"/>
      <c r="B130" s="22"/>
      <c r="C130" s="14" t="str">
        <f aca="false">IF($B130="","",IFERROR(INDEX('Mẫu task'!$B$5:$B$64,MATCH($B130,'Mẫu task'!$A$5:$A$64,0)),""))</f>
        <v/>
      </c>
      <c r="D130" s="15" t="str">
        <f aca="false">IF($C130="","",IFERROR(INDEX('Quy trình'!$B$5:$B$12,MATCH($C130,'Quy trình'!$A$5:$A$12,0)),""))</f>
        <v/>
      </c>
      <c r="E130" s="23" t="str">
        <f aca="false">IF($B130="","",IFERROR(INDEX('Mẫu task'!$D$5:$D$64,MATCH($B130,'Mẫu task'!$A$5:$A$64,0)),""))</f>
        <v/>
      </c>
      <c r="F130" s="23" t="str">
        <f aca="false">IF($B130="","",IFERROR(INDEX('Mẫu task'!$E$5:$E$64,MATCH($B130,'Mẫu task'!$A$5:$A$64,0)),""))</f>
        <v/>
      </c>
      <c r="G130" s="19"/>
      <c r="H130" s="20"/>
      <c r="I130" s="14" t="str">
        <f aca="false">IF($B130="","",IFERROR(INDEX('Mẫu task'!$H$5:$H$64,MATCH($B130,'Mẫu task'!$A$5:$A$64,0)),""))</f>
        <v/>
      </c>
      <c r="J130" s="24" t="str">
        <f aca="false">IF(OR($H130="",$I130=""),"",$H130+$I130)</f>
        <v/>
      </c>
      <c r="K130" s="22"/>
      <c r="L130" s="20"/>
      <c r="M130" s="14" t="str">
        <f aca="true">IF($B130="","",IF($K130="Hoàn thành","Xong",IF($K130="Không áp dụng","—",IF($K130="Bị chặn","Bị chặn",IF($O130=1,"TRỄ "&amp;(TODAY()-$J130)&amp;" ngày",IF(AND($K130="Đang làm",$P130&gt;0),"Bước trước chưa xong",IF(AND($J130&lt;&gt;"",N($J130)-TODAY()&lt;=3),"Sắp đến hạn",IF($K130="Đang làm","Đang làm","Chưa bắt đầu"))))))))</f>
        <v/>
      </c>
      <c r="N130" s="25"/>
      <c r="O130" s="26" t="n">
        <f aca="true">IF(AND($B130&lt;&gt;"",$K130&lt;&gt;"Hoàn thành",$K130&lt;&gt;"Không áp dụng",$J130&lt;&gt;""),IF($J130&lt;TODAY(),1,0),0)</f>
        <v>0</v>
      </c>
      <c r="P130" s="26" t="n">
        <f aca="false">IF(AND($B130&lt;&gt;"",$C130&lt;&gt;"",N($C130)&gt;1),COUNTIFS(Task!$A$5:$A$404,$A130,Task!$C$5:$C$404,N($C130)-1,Task!$K$5:$K$404,"&lt;&gt;Hoàn thành",Task!$K$5:$K$404,"&lt;&gt;Không áp dụng"),0)</f>
        <v>0</v>
      </c>
    </row>
    <row r="131" customFormat="false" ht="15" hidden="false" customHeight="false" outlineLevel="0" collapsed="false">
      <c r="A131" s="19"/>
      <c r="B131" s="22"/>
      <c r="C131" s="14" t="str">
        <f aca="false">IF($B131="","",IFERROR(INDEX('Mẫu task'!$B$5:$B$64,MATCH($B131,'Mẫu task'!$A$5:$A$64,0)),""))</f>
        <v/>
      </c>
      <c r="D131" s="15" t="str">
        <f aca="false">IF($C131="","",IFERROR(INDEX('Quy trình'!$B$5:$B$12,MATCH($C131,'Quy trình'!$A$5:$A$12,0)),""))</f>
        <v/>
      </c>
      <c r="E131" s="23" t="str">
        <f aca="false">IF($B131="","",IFERROR(INDEX('Mẫu task'!$D$5:$D$64,MATCH($B131,'Mẫu task'!$A$5:$A$64,0)),""))</f>
        <v/>
      </c>
      <c r="F131" s="23" t="str">
        <f aca="false">IF($B131="","",IFERROR(INDEX('Mẫu task'!$E$5:$E$64,MATCH($B131,'Mẫu task'!$A$5:$A$64,0)),""))</f>
        <v/>
      </c>
      <c r="G131" s="19"/>
      <c r="H131" s="20"/>
      <c r="I131" s="14" t="str">
        <f aca="false">IF($B131="","",IFERROR(INDEX('Mẫu task'!$H$5:$H$64,MATCH($B131,'Mẫu task'!$A$5:$A$64,0)),""))</f>
        <v/>
      </c>
      <c r="J131" s="24" t="str">
        <f aca="false">IF(OR($H131="",$I131=""),"",$H131+$I131)</f>
        <v/>
      </c>
      <c r="K131" s="22"/>
      <c r="L131" s="20"/>
      <c r="M131" s="14" t="str">
        <f aca="true">IF($B131="","",IF($K131="Hoàn thành","Xong",IF($K131="Không áp dụng","—",IF($K131="Bị chặn","Bị chặn",IF($O131=1,"TRỄ "&amp;(TODAY()-$J131)&amp;" ngày",IF(AND($K131="Đang làm",$P131&gt;0),"Bước trước chưa xong",IF(AND($J131&lt;&gt;"",N($J131)-TODAY()&lt;=3),"Sắp đến hạn",IF($K131="Đang làm","Đang làm","Chưa bắt đầu"))))))))</f>
        <v/>
      </c>
      <c r="N131" s="25"/>
      <c r="O131" s="26" t="n">
        <f aca="true">IF(AND($B131&lt;&gt;"",$K131&lt;&gt;"Hoàn thành",$K131&lt;&gt;"Không áp dụng",$J131&lt;&gt;""),IF($J131&lt;TODAY(),1,0),0)</f>
        <v>0</v>
      </c>
      <c r="P131" s="26" t="n">
        <f aca="false">IF(AND($B131&lt;&gt;"",$C131&lt;&gt;"",N($C131)&gt;1),COUNTIFS(Task!$A$5:$A$404,$A131,Task!$C$5:$C$404,N($C131)-1,Task!$K$5:$K$404,"&lt;&gt;Hoàn thành",Task!$K$5:$K$404,"&lt;&gt;Không áp dụng"),0)</f>
        <v>0</v>
      </c>
    </row>
    <row r="132" customFormat="false" ht="15" hidden="false" customHeight="false" outlineLevel="0" collapsed="false">
      <c r="A132" s="19"/>
      <c r="B132" s="22"/>
      <c r="C132" s="14" t="str">
        <f aca="false">IF($B132="","",IFERROR(INDEX('Mẫu task'!$B$5:$B$64,MATCH($B132,'Mẫu task'!$A$5:$A$64,0)),""))</f>
        <v/>
      </c>
      <c r="D132" s="15" t="str">
        <f aca="false">IF($C132="","",IFERROR(INDEX('Quy trình'!$B$5:$B$12,MATCH($C132,'Quy trình'!$A$5:$A$12,0)),""))</f>
        <v/>
      </c>
      <c r="E132" s="23" t="str">
        <f aca="false">IF($B132="","",IFERROR(INDEX('Mẫu task'!$D$5:$D$64,MATCH($B132,'Mẫu task'!$A$5:$A$64,0)),""))</f>
        <v/>
      </c>
      <c r="F132" s="23" t="str">
        <f aca="false">IF($B132="","",IFERROR(INDEX('Mẫu task'!$E$5:$E$64,MATCH($B132,'Mẫu task'!$A$5:$A$64,0)),""))</f>
        <v/>
      </c>
      <c r="G132" s="19"/>
      <c r="H132" s="20"/>
      <c r="I132" s="14" t="str">
        <f aca="false">IF($B132="","",IFERROR(INDEX('Mẫu task'!$H$5:$H$64,MATCH($B132,'Mẫu task'!$A$5:$A$64,0)),""))</f>
        <v/>
      </c>
      <c r="J132" s="24" t="str">
        <f aca="false">IF(OR($H132="",$I132=""),"",$H132+$I132)</f>
        <v/>
      </c>
      <c r="K132" s="22"/>
      <c r="L132" s="20"/>
      <c r="M132" s="14" t="str">
        <f aca="true">IF($B132="","",IF($K132="Hoàn thành","Xong",IF($K132="Không áp dụng","—",IF($K132="Bị chặn","Bị chặn",IF($O132=1,"TRỄ "&amp;(TODAY()-$J132)&amp;" ngày",IF(AND($K132="Đang làm",$P132&gt;0),"Bước trước chưa xong",IF(AND($J132&lt;&gt;"",N($J132)-TODAY()&lt;=3),"Sắp đến hạn",IF($K132="Đang làm","Đang làm","Chưa bắt đầu"))))))))</f>
        <v/>
      </c>
      <c r="N132" s="25"/>
      <c r="O132" s="26" t="n">
        <f aca="true">IF(AND($B132&lt;&gt;"",$K132&lt;&gt;"Hoàn thành",$K132&lt;&gt;"Không áp dụng",$J132&lt;&gt;""),IF($J132&lt;TODAY(),1,0),0)</f>
        <v>0</v>
      </c>
      <c r="P132" s="26" t="n">
        <f aca="false">IF(AND($B132&lt;&gt;"",$C132&lt;&gt;"",N($C132)&gt;1),COUNTIFS(Task!$A$5:$A$404,$A132,Task!$C$5:$C$404,N($C132)-1,Task!$K$5:$K$404,"&lt;&gt;Hoàn thành",Task!$K$5:$K$404,"&lt;&gt;Không áp dụng"),0)</f>
        <v>0</v>
      </c>
    </row>
    <row r="133" customFormat="false" ht="15" hidden="false" customHeight="false" outlineLevel="0" collapsed="false">
      <c r="A133" s="19"/>
      <c r="B133" s="22"/>
      <c r="C133" s="14" t="str">
        <f aca="false">IF($B133="","",IFERROR(INDEX('Mẫu task'!$B$5:$B$64,MATCH($B133,'Mẫu task'!$A$5:$A$64,0)),""))</f>
        <v/>
      </c>
      <c r="D133" s="15" t="str">
        <f aca="false">IF($C133="","",IFERROR(INDEX('Quy trình'!$B$5:$B$12,MATCH($C133,'Quy trình'!$A$5:$A$12,0)),""))</f>
        <v/>
      </c>
      <c r="E133" s="23" t="str">
        <f aca="false">IF($B133="","",IFERROR(INDEX('Mẫu task'!$D$5:$D$64,MATCH($B133,'Mẫu task'!$A$5:$A$64,0)),""))</f>
        <v/>
      </c>
      <c r="F133" s="23" t="str">
        <f aca="false">IF($B133="","",IFERROR(INDEX('Mẫu task'!$E$5:$E$64,MATCH($B133,'Mẫu task'!$A$5:$A$64,0)),""))</f>
        <v/>
      </c>
      <c r="G133" s="19"/>
      <c r="H133" s="20"/>
      <c r="I133" s="14" t="str">
        <f aca="false">IF($B133="","",IFERROR(INDEX('Mẫu task'!$H$5:$H$64,MATCH($B133,'Mẫu task'!$A$5:$A$64,0)),""))</f>
        <v/>
      </c>
      <c r="J133" s="24" t="str">
        <f aca="false">IF(OR($H133="",$I133=""),"",$H133+$I133)</f>
        <v/>
      </c>
      <c r="K133" s="22"/>
      <c r="L133" s="20"/>
      <c r="M133" s="14" t="str">
        <f aca="true">IF($B133="","",IF($K133="Hoàn thành","Xong",IF($K133="Không áp dụng","—",IF($K133="Bị chặn","Bị chặn",IF($O133=1,"TRỄ "&amp;(TODAY()-$J133)&amp;" ngày",IF(AND($K133="Đang làm",$P133&gt;0),"Bước trước chưa xong",IF(AND($J133&lt;&gt;"",N($J133)-TODAY()&lt;=3),"Sắp đến hạn",IF($K133="Đang làm","Đang làm","Chưa bắt đầu"))))))))</f>
        <v/>
      </c>
      <c r="N133" s="25"/>
      <c r="O133" s="26" t="n">
        <f aca="true">IF(AND($B133&lt;&gt;"",$K133&lt;&gt;"Hoàn thành",$K133&lt;&gt;"Không áp dụng",$J133&lt;&gt;""),IF($J133&lt;TODAY(),1,0),0)</f>
        <v>0</v>
      </c>
      <c r="P133" s="26" t="n">
        <f aca="false">IF(AND($B133&lt;&gt;"",$C133&lt;&gt;"",N($C133)&gt;1),COUNTIFS(Task!$A$5:$A$404,$A133,Task!$C$5:$C$404,N($C133)-1,Task!$K$5:$K$404,"&lt;&gt;Hoàn thành",Task!$K$5:$K$404,"&lt;&gt;Không áp dụng"),0)</f>
        <v>0</v>
      </c>
    </row>
    <row r="134" customFormat="false" ht="15" hidden="false" customHeight="false" outlineLevel="0" collapsed="false">
      <c r="A134" s="19"/>
      <c r="B134" s="22"/>
      <c r="C134" s="14" t="str">
        <f aca="false">IF($B134="","",IFERROR(INDEX('Mẫu task'!$B$5:$B$64,MATCH($B134,'Mẫu task'!$A$5:$A$64,0)),""))</f>
        <v/>
      </c>
      <c r="D134" s="15" t="str">
        <f aca="false">IF($C134="","",IFERROR(INDEX('Quy trình'!$B$5:$B$12,MATCH($C134,'Quy trình'!$A$5:$A$12,0)),""))</f>
        <v/>
      </c>
      <c r="E134" s="23" t="str">
        <f aca="false">IF($B134="","",IFERROR(INDEX('Mẫu task'!$D$5:$D$64,MATCH($B134,'Mẫu task'!$A$5:$A$64,0)),""))</f>
        <v/>
      </c>
      <c r="F134" s="23" t="str">
        <f aca="false">IF($B134="","",IFERROR(INDEX('Mẫu task'!$E$5:$E$64,MATCH($B134,'Mẫu task'!$A$5:$A$64,0)),""))</f>
        <v/>
      </c>
      <c r="G134" s="19"/>
      <c r="H134" s="20"/>
      <c r="I134" s="14" t="str">
        <f aca="false">IF($B134="","",IFERROR(INDEX('Mẫu task'!$H$5:$H$64,MATCH($B134,'Mẫu task'!$A$5:$A$64,0)),""))</f>
        <v/>
      </c>
      <c r="J134" s="24" t="str">
        <f aca="false">IF(OR($H134="",$I134=""),"",$H134+$I134)</f>
        <v/>
      </c>
      <c r="K134" s="22"/>
      <c r="L134" s="20"/>
      <c r="M134" s="14" t="str">
        <f aca="true">IF($B134="","",IF($K134="Hoàn thành","Xong",IF($K134="Không áp dụng","—",IF($K134="Bị chặn","Bị chặn",IF($O134=1,"TRỄ "&amp;(TODAY()-$J134)&amp;" ngày",IF(AND($K134="Đang làm",$P134&gt;0),"Bước trước chưa xong",IF(AND($J134&lt;&gt;"",N($J134)-TODAY()&lt;=3),"Sắp đến hạn",IF($K134="Đang làm","Đang làm","Chưa bắt đầu"))))))))</f>
        <v/>
      </c>
      <c r="N134" s="25"/>
      <c r="O134" s="26" t="n">
        <f aca="true">IF(AND($B134&lt;&gt;"",$K134&lt;&gt;"Hoàn thành",$K134&lt;&gt;"Không áp dụng",$J134&lt;&gt;""),IF($J134&lt;TODAY(),1,0),0)</f>
        <v>0</v>
      </c>
      <c r="P134" s="26" t="n">
        <f aca="false">IF(AND($B134&lt;&gt;"",$C134&lt;&gt;"",N($C134)&gt;1),COUNTIFS(Task!$A$5:$A$404,$A134,Task!$C$5:$C$404,N($C134)-1,Task!$K$5:$K$404,"&lt;&gt;Hoàn thành",Task!$K$5:$K$404,"&lt;&gt;Không áp dụng"),0)</f>
        <v>0</v>
      </c>
    </row>
    <row r="135" customFormat="false" ht="15" hidden="false" customHeight="false" outlineLevel="0" collapsed="false">
      <c r="A135" s="19"/>
      <c r="B135" s="22"/>
      <c r="C135" s="14" t="str">
        <f aca="false">IF($B135="","",IFERROR(INDEX('Mẫu task'!$B$5:$B$64,MATCH($B135,'Mẫu task'!$A$5:$A$64,0)),""))</f>
        <v/>
      </c>
      <c r="D135" s="15" t="str">
        <f aca="false">IF($C135="","",IFERROR(INDEX('Quy trình'!$B$5:$B$12,MATCH($C135,'Quy trình'!$A$5:$A$12,0)),""))</f>
        <v/>
      </c>
      <c r="E135" s="23" t="str">
        <f aca="false">IF($B135="","",IFERROR(INDEX('Mẫu task'!$D$5:$D$64,MATCH($B135,'Mẫu task'!$A$5:$A$64,0)),""))</f>
        <v/>
      </c>
      <c r="F135" s="23" t="str">
        <f aca="false">IF($B135="","",IFERROR(INDEX('Mẫu task'!$E$5:$E$64,MATCH($B135,'Mẫu task'!$A$5:$A$64,0)),""))</f>
        <v/>
      </c>
      <c r="G135" s="19"/>
      <c r="H135" s="20"/>
      <c r="I135" s="14" t="str">
        <f aca="false">IF($B135="","",IFERROR(INDEX('Mẫu task'!$H$5:$H$64,MATCH($B135,'Mẫu task'!$A$5:$A$64,0)),""))</f>
        <v/>
      </c>
      <c r="J135" s="24" t="str">
        <f aca="false">IF(OR($H135="",$I135=""),"",$H135+$I135)</f>
        <v/>
      </c>
      <c r="K135" s="22"/>
      <c r="L135" s="20"/>
      <c r="M135" s="14" t="str">
        <f aca="true">IF($B135="","",IF($K135="Hoàn thành","Xong",IF($K135="Không áp dụng","—",IF($K135="Bị chặn","Bị chặn",IF($O135=1,"TRỄ "&amp;(TODAY()-$J135)&amp;" ngày",IF(AND($K135="Đang làm",$P135&gt;0),"Bước trước chưa xong",IF(AND($J135&lt;&gt;"",N($J135)-TODAY()&lt;=3),"Sắp đến hạn",IF($K135="Đang làm","Đang làm","Chưa bắt đầu"))))))))</f>
        <v/>
      </c>
      <c r="N135" s="25"/>
      <c r="O135" s="26" t="n">
        <f aca="true">IF(AND($B135&lt;&gt;"",$K135&lt;&gt;"Hoàn thành",$K135&lt;&gt;"Không áp dụng",$J135&lt;&gt;""),IF($J135&lt;TODAY(),1,0),0)</f>
        <v>0</v>
      </c>
      <c r="P135" s="26" t="n">
        <f aca="false">IF(AND($B135&lt;&gt;"",$C135&lt;&gt;"",N($C135)&gt;1),COUNTIFS(Task!$A$5:$A$404,$A135,Task!$C$5:$C$404,N($C135)-1,Task!$K$5:$K$404,"&lt;&gt;Hoàn thành",Task!$K$5:$K$404,"&lt;&gt;Không áp dụng"),0)</f>
        <v>0</v>
      </c>
    </row>
    <row r="136" customFormat="false" ht="15" hidden="false" customHeight="false" outlineLevel="0" collapsed="false">
      <c r="A136" s="19"/>
      <c r="B136" s="22"/>
      <c r="C136" s="14" t="str">
        <f aca="false">IF($B136="","",IFERROR(INDEX('Mẫu task'!$B$5:$B$64,MATCH($B136,'Mẫu task'!$A$5:$A$64,0)),""))</f>
        <v/>
      </c>
      <c r="D136" s="15" t="str">
        <f aca="false">IF($C136="","",IFERROR(INDEX('Quy trình'!$B$5:$B$12,MATCH($C136,'Quy trình'!$A$5:$A$12,0)),""))</f>
        <v/>
      </c>
      <c r="E136" s="23" t="str">
        <f aca="false">IF($B136="","",IFERROR(INDEX('Mẫu task'!$D$5:$D$64,MATCH($B136,'Mẫu task'!$A$5:$A$64,0)),""))</f>
        <v/>
      </c>
      <c r="F136" s="23" t="str">
        <f aca="false">IF($B136="","",IFERROR(INDEX('Mẫu task'!$E$5:$E$64,MATCH($B136,'Mẫu task'!$A$5:$A$64,0)),""))</f>
        <v/>
      </c>
      <c r="G136" s="19"/>
      <c r="H136" s="20"/>
      <c r="I136" s="14" t="str">
        <f aca="false">IF($B136="","",IFERROR(INDEX('Mẫu task'!$H$5:$H$64,MATCH($B136,'Mẫu task'!$A$5:$A$64,0)),""))</f>
        <v/>
      </c>
      <c r="J136" s="24" t="str">
        <f aca="false">IF(OR($H136="",$I136=""),"",$H136+$I136)</f>
        <v/>
      </c>
      <c r="K136" s="22"/>
      <c r="L136" s="20"/>
      <c r="M136" s="14" t="str">
        <f aca="true">IF($B136="","",IF($K136="Hoàn thành","Xong",IF($K136="Không áp dụng","—",IF($K136="Bị chặn","Bị chặn",IF($O136=1,"TRỄ "&amp;(TODAY()-$J136)&amp;" ngày",IF(AND($K136="Đang làm",$P136&gt;0),"Bước trước chưa xong",IF(AND($J136&lt;&gt;"",N($J136)-TODAY()&lt;=3),"Sắp đến hạn",IF($K136="Đang làm","Đang làm","Chưa bắt đầu"))))))))</f>
        <v/>
      </c>
      <c r="N136" s="25"/>
      <c r="O136" s="26" t="n">
        <f aca="true">IF(AND($B136&lt;&gt;"",$K136&lt;&gt;"Hoàn thành",$K136&lt;&gt;"Không áp dụng",$J136&lt;&gt;""),IF($J136&lt;TODAY(),1,0),0)</f>
        <v>0</v>
      </c>
      <c r="P136" s="26" t="n">
        <f aca="false">IF(AND($B136&lt;&gt;"",$C136&lt;&gt;"",N($C136)&gt;1),COUNTIFS(Task!$A$5:$A$404,$A136,Task!$C$5:$C$404,N($C136)-1,Task!$K$5:$K$404,"&lt;&gt;Hoàn thành",Task!$K$5:$K$404,"&lt;&gt;Không áp dụng"),0)</f>
        <v>0</v>
      </c>
    </row>
    <row r="137" customFormat="false" ht="15" hidden="false" customHeight="false" outlineLevel="0" collapsed="false">
      <c r="A137" s="19"/>
      <c r="B137" s="22"/>
      <c r="C137" s="14" t="str">
        <f aca="false">IF($B137="","",IFERROR(INDEX('Mẫu task'!$B$5:$B$64,MATCH($B137,'Mẫu task'!$A$5:$A$64,0)),""))</f>
        <v/>
      </c>
      <c r="D137" s="15" t="str">
        <f aca="false">IF($C137="","",IFERROR(INDEX('Quy trình'!$B$5:$B$12,MATCH($C137,'Quy trình'!$A$5:$A$12,0)),""))</f>
        <v/>
      </c>
      <c r="E137" s="23" t="str">
        <f aca="false">IF($B137="","",IFERROR(INDEX('Mẫu task'!$D$5:$D$64,MATCH($B137,'Mẫu task'!$A$5:$A$64,0)),""))</f>
        <v/>
      </c>
      <c r="F137" s="23" t="str">
        <f aca="false">IF($B137="","",IFERROR(INDEX('Mẫu task'!$E$5:$E$64,MATCH($B137,'Mẫu task'!$A$5:$A$64,0)),""))</f>
        <v/>
      </c>
      <c r="G137" s="19"/>
      <c r="H137" s="20"/>
      <c r="I137" s="14" t="str">
        <f aca="false">IF($B137="","",IFERROR(INDEX('Mẫu task'!$H$5:$H$64,MATCH($B137,'Mẫu task'!$A$5:$A$64,0)),""))</f>
        <v/>
      </c>
      <c r="J137" s="24" t="str">
        <f aca="false">IF(OR($H137="",$I137=""),"",$H137+$I137)</f>
        <v/>
      </c>
      <c r="K137" s="22"/>
      <c r="L137" s="20"/>
      <c r="M137" s="14" t="str">
        <f aca="true">IF($B137="","",IF($K137="Hoàn thành","Xong",IF($K137="Không áp dụng","—",IF($K137="Bị chặn","Bị chặn",IF($O137=1,"TRỄ "&amp;(TODAY()-$J137)&amp;" ngày",IF(AND($K137="Đang làm",$P137&gt;0),"Bước trước chưa xong",IF(AND($J137&lt;&gt;"",N($J137)-TODAY()&lt;=3),"Sắp đến hạn",IF($K137="Đang làm","Đang làm","Chưa bắt đầu"))))))))</f>
        <v/>
      </c>
      <c r="N137" s="25"/>
      <c r="O137" s="26" t="n">
        <f aca="true">IF(AND($B137&lt;&gt;"",$K137&lt;&gt;"Hoàn thành",$K137&lt;&gt;"Không áp dụng",$J137&lt;&gt;""),IF($J137&lt;TODAY(),1,0),0)</f>
        <v>0</v>
      </c>
      <c r="P137" s="26" t="n">
        <f aca="false">IF(AND($B137&lt;&gt;"",$C137&lt;&gt;"",N($C137)&gt;1),COUNTIFS(Task!$A$5:$A$404,$A137,Task!$C$5:$C$404,N($C137)-1,Task!$K$5:$K$404,"&lt;&gt;Hoàn thành",Task!$K$5:$K$404,"&lt;&gt;Không áp dụng"),0)</f>
        <v>0</v>
      </c>
    </row>
    <row r="138" customFormat="false" ht="15" hidden="false" customHeight="false" outlineLevel="0" collapsed="false">
      <c r="A138" s="19"/>
      <c r="B138" s="22"/>
      <c r="C138" s="14" t="str">
        <f aca="false">IF($B138="","",IFERROR(INDEX('Mẫu task'!$B$5:$B$64,MATCH($B138,'Mẫu task'!$A$5:$A$64,0)),""))</f>
        <v/>
      </c>
      <c r="D138" s="15" t="str">
        <f aca="false">IF($C138="","",IFERROR(INDEX('Quy trình'!$B$5:$B$12,MATCH($C138,'Quy trình'!$A$5:$A$12,0)),""))</f>
        <v/>
      </c>
      <c r="E138" s="23" t="str">
        <f aca="false">IF($B138="","",IFERROR(INDEX('Mẫu task'!$D$5:$D$64,MATCH($B138,'Mẫu task'!$A$5:$A$64,0)),""))</f>
        <v/>
      </c>
      <c r="F138" s="23" t="str">
        <f aca="false">IF($B138="","",IFERROR(INDEX('Mẫu task'!$E$5:$E$64,MATCH($B138,'Mẫu task'!$A$5:$A$64,0)),""))</f>
        <v/>
      </c>
      <c r="G138" s="19"/>
      <c r="H138" s="20"/>
      <c r="I138" s="14" t="str">
        <f aca="false">IF($B138="","",IFERROR(INDEX('Mẫu task'!$H$5:$H$64,MATCH($B138,'Mẫu task'!$A$5:$A$64,0)),""))</f>
        <v/>
      </c>
      <c r="J138" s="24" t="str">
        <f aca="false">IF(OR($H138="",$I138=""),"",$H138+$I138)</f>
        <v/>
      </c>
      <c r="K138" s="22"/>
      <c r="L138" s="20"/>
      <c r="M138" s="14" t="str">
        <f aca="true">IF($B138="","",IF($K138="Hoàn thành","Xong",IF($K138="Không áp dụng","—",IF($K138="Bị chặn","Bị chặn",IF($O138=1,"TRỄ "&amp;(TODAY()-$J138)&amp;" ngày",IF(AND($K138="Đang làm",$P138&gt;0),"Bước trước chưa xong",IF(AND($J138&lt;&gt;"",N($J138)-TODAY()&lt;=3),"Sắp đến hạn",IF($K138="Đang làm","Đang làm","Chưa bắt đầu"))))))))</f>
        <v/>
      </c>
      <c r="N138" s="25"/>
      <c r="O138" s="26" t="n">
        <f aca="true">IF(AND($B138&lt;&gt;"",$K138&lt;&gt;"Hoàn thành",$K138&lt;&gt;"Không áp dụng",$J138&lt;&gt;""),IF($J138&lt;TODAY(),1,0),0)</f>
        <v>0</v>
      </c>
      <c r="P138" s="26" t="n">
        <f aca="false">IF(AND($B138&lt;&gt;"",$C138&lt;&gt;"",N($C138)&gt;1),COUNTIFS(Task!$A$5:$A$404,$A138,Task!$C$5:$C$404,N($C138)-1,Task!$K$5:$K$404,"&lt;&gt;Hoàn thành",Task!$K$5:$K$404,"&lt;&gt;Không áp dụng"),0)</f>
        <v>0</v>
      </c>
    </row>
    <row r="139" customFormat="false" ht="15" hidden="false" customHeight="false" outlineLevel="0" collapsed="false">
      <c r="A139" s="19"/>
      <c r="B139" s="22"/>
      <c r="C139" s="14" t="str">
        <f aca="false">IF($B139="","",IFERROR(INDEX('Mẫu task'!$B$5:$B$64,MATCH($B139,'Mẫu task'!$A$5:$A$64,0)),""))</f>
        <v/>
      </c>
      <c r="D139" s="15" t="str">
        <f aca="false">IF($C139="","",IFERROR(INDEX('Quy trình'!$B$5:$B$12,MATCH($C139,'Quy trình'!$A$5:$A$12,0)),""))</f>
        <v/>
      </c>
      <c r="E139" s="23" t="str">
        <f aca="false">IF($B139="","",IFERROR(INDEX('Mẫu task'!$D$5:$D$64,MATCH($B139,'Mẫu task'!$A$5:$A$64,0)),""))</f>
        <v/>
      </c>
      <c r="F139" s="23" t="str">
        <f aca="false">IF($B139="","",IFERROR(INDEX('Mẫu task'!$E$5:$E$64,MATCH($B139,'Mẫu task'!$A$5:$A$64,0)),""))</f>
        <v/>
      </c>
      <c r="G139" s="19"/>
      <c r="H139" s="20"/>
      <c r="I139" s="14" t="str">
        <f aca="false">IF($B139="","",IFERROR(INDEX('Mẫu task'!$H$5:$H$64,MATCH($B139,'Mẫu task'!$A$5:$A$64,0)),""))</f>
        <v/>
      </c>
      <c r="J139" s="24" t="str">
        <f aca="false">IF(OR($H139="",$I139=""),"",$H139+$I139)</f>
        <v/>
      </c>
      <c r="K139" s="22"/>
      <c r="L139" s="20"/>
      <c r="M139" s="14" t="str">
        <f aca="true">IF($B139="","",IF($K139="Hoàn thành","Xong",IF($K139="Không áp dụng","—",IF($K139="Bị chặn","Bị chặn",IF($O139=1,"TRỄ "&amp;(TODAY()-$J139)&amp;" ngày",IF(AND($K139="Đang làm",$P139&gt;0),"Bước trước chưa xong",IF(AND($J139&lt;&gt;"",N($J139)-TODAY()&lt;=3),"Sắp đến hạn",IF($K139="Đang làm","Đang làm","Chưa bắt đầu"))))))))</f>
        <v/>
      </c>
      <c r="N139" s="25"/>
      <c r="O139" s="26" t="n">
        <f aca="true">IF(AND($B139&lt;&gt;"",$K139&lt;&gt;"Hoàn thành",$K139&lt;&gt;"Không áp dụng",$J139&lt;&gt;""),IF($J139&lt;TODAY(),1,0),0)</f>
        <v>0</v>
      </c>
      <c r="P139" s="26" t="n">
        <f aca="false">IF(AND($B139&lt;&gt;"",$C139&lt;&gt;"",N($C139)&gt;1),COUNTIFS(Task!$A$5:$A$404,$A139,Task!$C$5:$C$404,N($C139)-1,Task!$K$5:$K$404,"&lt;&gt;Hoàn thành",Task!$K$5:$K$404,"&lt;&gt;Không áp dụng"),0)</f>
        <v>0</v>
      </c>
    </row>
    <row r="140" customFormat="false" ht="15" hidden="false" customHeight="false" outlineLevel="0" collapsed="false">
      <c r="A140" s="19"/>
      <c r="B140" s="22"/>
      <c r="C140" s="14" t="str">
        <f aca="false">IF($B140="","",IFERROR(INDEX('Mẫu task'!$B$5:$B$64,MATCH($B140,'Mẫu task'!$A$5:$A$64,0)),""))</f>
        <v/>
      </c>
      <c r="D140" s="15" t="str">
        <f aca="false">IF($C140="","",IFERROR(INDEX('Quy trình'!$B$5:$B$12,MATCH($C140,'Quy trình'!$A$5:$A$12,0)),""))</f>
        <v/>
      </c>
      <c r="E140" s="23" t="str">
        <f aca="false">IF($B140="","",IFERROR(INDEX('Mẫu task'!$D$5:$D$64,MATCH($B140,'Mẫu task'!$A$5:$A$64,0)),""))</f>
        <v/>
      </c>
      <c r="F140" s="23" t="str">
        <f aca="false">IF($B140="","",IFERROR(INDEX('Mẫu task'!$E$5:$E$64,MATCH($B140,'Mẫu task'!$A$5:$A$64,0)),""))</f>
        <v/>
      </c>
      <c r="G140" s="19"/>
      <c r="H140" s="20"/>
      <c r="I140" s="14" t="str">
        <f aca="false">IF($B140="","",IFERROR(INDEX('Mẫu task'!$H$5:$H$64,MATCH($B140,'Mẫu task'!$A$5:$A$64,0)),""))</f>
        <v/>
      </c>
      <c r="J140" s="24" t="str">
        <f aca="false">IF(OR($H140="",$I140=""),"",$H140+$I140)</f>
        <v/>
      </c>
      <c r="K140" s="22"/>
      <c r="L140" s="20"/>
      <c r="M140" s="14" t="str">
        <f aca="true">IF($B140="","",IF($K140="Hoàn thành","Xong",IF($K140="Không áp dụng","—",IF($K140="Bị chặn","Bị chặn",IF($O140=1,"TRỄ "&amp;(TODAY()-$J140)&amp;" ngày",IF(AND($K140="Đang làm",$P140&gt;0),"Bước trước chưa xong",IF(AND($J140&lt;&gt;"",N($J140)-TODAY()&lt;=3),"Sắp đến hạn",IF($K140="Đang làm","Đang làm","Chưa bắt đầu"))))))))</f>
        <v/>
      </c>
      <c r="N140" s="25"/>
      <c r="O140" s="26" t="n">
        <f aca="true">IF(AND($B140&lt;&gt;"",$K140&lt;&gt;"Hoàn thành",$K140&lt;&gt;"Không áp dụng",$J140&lt;&gt;""),IF($J140&lt;TODAY(),1,0),0)</f>
        <v>0</v>
      </c>
      <c r="P140" s="26" t="n">
        <f aca="false">IF(AND($B140&lt;&gt;"",$C140&lt;&gt;"",N($C140)&gt;1),COUNTIFS(Task!$A$5:$A$404,$A140,Task!$C$5:$C$404,N($C140)-1,Task!$K$5:$K$404,"&lt;&gt;Hoàn thành",Task!$K$5:$K$404,"&lt;&gt;Không áp dụng"),0)</f>
        <v>0</v>
      </c>
    </row>
    <row r="141" customFormat="false" ht="15" hidden="false" customHeight="false" outlineLevel="0" collapsed="false">
      <c r="A141" s="19"/>
      <c r="B141" s="22"/>
      <c r="C141" s="14" t="str">
        <f aca="false">IF($B141="","",IFERROR(INDEX('Mẫu task'!$B$5:$B$64,MATCH($B141,'Mẫu task'!$A$5:$A$64,0)),""))</f>
        <v/>
      </c>
      <c r="D141" s="15" t="str">
        <f aca="false">IF($C141="","",IFERROR(INDEX('Quy trình'!$B$5:$B$12,MATCH($C141,'Quy trình'!$A$5:$A$12,0)),""))</f>
        <v/>
      </c>
      <c r="E141" s="23" t="str">
        <f aca="false">IF($B141="","",IFERROR(INDEX('Mẫu task'!$D$5:$D$64,MATCH($B141,'Mẫu task'!$A$5:$A$64,0)),""))</f>
        <v/>
      </c>
      <c r="F141" s="23" t="str">
        <f aca="false">IF($B141="","",IFERROR(INDEX('Mẫu task'!$E$5:$E$64,MATCH($B141,'Mẫu task'!$A$5:$A$64,0)),""))</f>
        <v/>
      </c>
      <c r="G141" s="19"/>
      <c r="H141" s="20"/>
      <c r="I141" s="14" t="str">
        <f aca="false">IF($B141="","",IFERROR(INDEX('Mẫu task'!$H$5:$H$64,MATCH($B141,'Mẫu task'!$A$5:$A$64,0)),""))</f>
        <v/>
      </c>
      <c r="J141" s="24" t="str">
        <f aca="false">IF(OR($H141="",$I141=""),"",$H141+$I141)</f>
        <v/>
      </c>
      <c r="K141" s="22"/>
      <c r="L141" s="20"/>
      <c r="M141" s="14" t="str">
        <f aca="true">IF($B141="","",IF($K141="Hoàn thành","Xong",IF($K141="Không áp dụng","—",IF($K141="Bị chặn","Bị chặn",IF($O141=1,"TRỄ "&amp;(TODAY()-$J141)&amp;" ngày",IF(AND($K141="Đang làm",$P141&gt;0),"Bước trước chưa xong",IF(AND($J141&lt;&gt;"",N($J141)-TODAY()&lt;=3),"Sắp đến hạn",IF($K141="Đang làm","Đang làm","Chưa bắt đầu"))))))))</f>
        <v/>
      </c>
      <c r="N141" s="25"/>
      <c r="O141" s="26" t="n">
        <f aca="true">IF(AND($B141&lt;&gt;"",$K141&lt;&gt;"Hoàn thành",$K141&lt;&gt;"Không áp dụng",$J141&lt;&gt;""),IF($J141&lt;TODAY(),1,0),0)</f>
        <v>0</v>
      </c>
      <c r="P141" s="26" t="n">
        <f aca="false">IF(AND($B141&lt;&gt;"",$C141&lt;&gt;"",N($C141)&gt;1),COUNTIFS(Task!$A$5:$A$404,$A141,Task!$C$5:$C$404,N($C141)-1,Task!$K$5:$K$404,"&lt;&gt;Hoàn thành",Task!$K$5:$K$404,"&lt;&gt;Không áp dụng"),0)</f>
        <v>0</v>
      </c>
    </row>
    <row r="142" customFormat="false" ht="15" hidden="false" customHeight="false" outlineLevel="0" collapsed="false">
      <c r="A142" s="19"/>
      <c r="B142" s="22"/>
      <c r="C142" s="14" t="str">
        <f aca="false">IF($B142="","",IFERROR(INDEX('Mẫu task'!$B$5:$B$64,MATCH($B142,'Mẫu task'!$A$5:$A$64,0)),""))</f>
        <v/>
      </c>
      <c r="D142" s="15" t="str">
        <f aca="false">IF($C142="","",IFERROR(INDEX('Quy trình'!$B$5:$B$12,MATCH($C142,'Quy trình'!$A$5:$A$12,0)),""))</f>
        <v/>
      </c>
      <c r="E142" s="23" t="str">
        <f aca="false">IF($B142="","",IFERROR(INDEX('Mẫu task'!$D$5:$D$64,MATCH($B142,'Mẫu task'!$A$5:$A$64,0)),""))</f>
        <v/>
      </c>
      <c r="F142" s="23" t="str">
        <f aca="false">IF($B142="","",IFERROR(INDEX('Mẫu task'!$E$5:$E$64,MATCH($B142,'Mẫu task'!$A$5:$A$64,0)),""))</f>
        <v/>
      </c>
      <c r="G142" s="19"/>
      <c r="H142" s="20"/>
      <c r="I142" s="14" t="str">
        <f aca="false">IF($B142="","",IFERROR(INDEX('Mẫu task'!$H$5:$H$64,MATCH($B142,'Mẫu task'!$A$5:$A$64,0)),""))</f>
        <v/>
      </c>
      <c r="J142" s="24" t="str">
        <f aca="false">IF(OR($H142="",$I142=""),"",$H142+$I142)</f>
        <v/>
      </c>
      <c r="K142" s="22"/>
      <c r="L142" s="20"/>
      <c r="M142" s="14" t="str">
        <f aca="true">IF($B142="","",IF($K142="Hoàn thành","Xong",IF($K142="Không áp dụng","—",IF($K142="Bị chặn","Bị chặn",IF($O142=1,"TRỄ "&amp;(TODAY()-$J142)&amp;" ngày",IF(AND($K142="Đang làm",$P142&gt;0),"Bước trước chưa xong",IF(AND($J142&lt;&gt;"",N($J142)-TODAY()&lt;=3),"Sắp đến hạn",IF($K142="Đang làm","Đang làm","Chưa bắt đầu"))))))))</f>
        <v/>
      </c>
      <c r="N142" s="25"/>
      <c r="O142" s="26" t="n">
        <f aca="true">IF(AND($B142&lt;&gt;"",$K142&lt;&gt;"Hoàn thành",$K142&lt;&gt;"Không áp dụng",$J142&lt;&gt;""),IF($J142&lt;TODAY(),1,0),0)</f>
        <v>0</v>
      </c>
      <c r="P142" s="26" t="n">
        <f aca="false">IF(AND($B142&lt;&gt;"",$C142&lt;&gt;"",N($C142)&gt;1),COUNTIFS(Task!$A$5:$A$404,$A142,Task!$C$5:$C$404,N($C142)-1,Task!$K$5:$K$404,"&lt;&gt;Hoàn thành",Task!$K$5:$K$404,"&lt;&gt;Không áp dụng"),0)</f>
        <v>0</v>
      </c>
    </row>
    <row r="143" customFormat="false" ht="15" hidden="false" customHeight="false" outlineLevel="0" collapsed="false">
      <c r="A143" s="19"/>
      <c r="B143" s="22"/>
      <c r="C143" s="14" t="str">
        <f aca="false">IF($B143="","",IFERROR(INDEX('Mẫu task'!$B$5:$B$64,MATCH($B143,'Mẫu task'!$A$5:$A$64,0)),""))</f>
        <v/>
      </c>
      <c r="D143" s="15" t="str">
        <f aca="false">IF($C143="","",IFERROR(INDEX('Quy trình'!$B$5:$B$12,MATCH($C143,'Quy trình'!$A$5:$A$12,0)),""))</f>
        <v/>
      </c>
      <c r="E143" s="23" t="str">
        <f aca="false">IF($B143="","",IFERROR(INDEX('Mẫu task'!$D$5:$D$64,MATCH($B143,'Mẫu task'!$A$5:$A$64,0)),""))</f>
        <v/>
      </c>
      <c r="F143" s="23" t="str">
        <f aca="false">IF($B143="","",IFERROR(INDEX('Mẫu task'!$E$5:$E$64,MATCH($B143,'Mẫu task'!$A$5:$A$64,0)),""))</f>
        <v/>
      </c>
      <c r="G143" s="19"/>
      <c r="H143" s="20"/>
      <c r="I143" s="14" t="str">
        <f aca="false">IF($B143="","",IFERROR(INDEX('Mẫu task'!$H$5:$H$64,MATCH($B143,'Mẫu task'!$A$5:$A$64,0)),""))</f>
        <v/>
      </c>
      <c r="J143" s="24" t="str">
        <f aca="false">IF(OR($H143="",$I143=""),"",$H143+$I143)</f>
        <v/>
      </c>
      <c r="K143" s="22"/>
      <c r="L143" s="20"/>
      <c r="M143" s="14" t="str">
        <f aca="true">IF($B143="","",IF($K143="Hoàn thành","Xong",IF($K143="Không áp dụng","—",IF($K143="Bị chặn","Bị chặn",IF($O143=1,"TRỄ "&amp;(TODAY()-$J143)&amp;" ngày",IF(AND($K143="Đang làm",$P143&gt;0),"Bước trước chưa xong",IF(AND($J143&lt;&gt;"",N($J143)-TODAY()&lt;=3),"Sắp đến hạn",IF($K143="Đang làm","Đang làm","Chưa bắt đầu"))))))))</f>
        <v/>
      </c>
      <c r="N143" s="25"/>
      <c r="O143" s="26" t="n">
        <f aca="true">IF(AND($B143&lt;&gt;"",$K143&lt;&gt;"Hoàn thành",$K143&lt;&gt;"Không áp dụng",$J143&lt;&gt;""),IF($J143&lt;TODAY(),1,0),0)</f>
        <v>0</v>
      </c>
      <c r="P143" s="26" t="n">
        <f aca="false">IF(AND($B143&lt;&gt;"",$C143&lt;&gt;"",N($C143)&gt;1),COUNTIFS(Task!$A$5:$A$404,$A143,Task!$C$5:$C$404,N($C143)-1,Task!$K$5:$K$404,"&lt;&gt;Hoàn thành",Task!$K$5:$K$404,"&lt;&gt;Không áp dụng"),0)</f>
        <v>0</v>
      </c>
    </row>
    <row r="144" customFormat="false" ht="15" hidden="false" customHeight="false" outlineLevel="0" collapsed="false">
      <c r="A144" s="19"/>
      <c r="B144" s="22"/>
      <c r="C144" s="14" t="str">
        <f aca="false">IF($B144="","",IFERROR(INDEX('Mẫu task'!$B$5:$B$64,MATCH($B144,'Mẫu task'!$A$5:$A$64,0)),""))</f>
        <v/>
      </c>
      <c r="D144" s="15" t="str">
        <f aca="false">IF($C144="","",IFERROR(INDEX('Quy trình'!$B$5:$B$12,MATCH($C144,'Quy trình'!$A$5:$A$12,0)),""))</f>
        <v/>
      </c>
      <c r="E144" s="23" t="str">
        <f aca="false">IF($B144="","",IFERROR(INDEX('Mẫu task'!$D$5:$D$64,MATCH($B144,'Mẫu task'!$A$5:$A$64,0)),""))</f>
        <v/>
      </c>
      <c r="F144" s="23" t="str">
        <f aca="false">IF($B144="","",IFERROR(INDEX('Mẫu task'!$E$5:$E$64,MATCH($B144,'Mẫu task'!$A$5:$A$64,0)),""))</f>
        <v/>
      </c>
      <c r="G144" s="19"/>
      <c r="H144" s="20"/>
      <c r="I144" s="14" t="str">
        <f aca="false">IF($B144="","",IFERROR(INDEX('Mẫu task'!$H$5:$H$64,MATCH($B144,'Mẫu task'!$A$5:$A$64,0)),""))</f>
        <v/>
      </c>
      <c r="J144" s="24" t="str">
        <f aca="false">IF(OR($H144="",$I144=""),"",$H144+$I144)</f>
        <v/>
      </c>
      <c r="K144" s="22"/>
      <c r="L144" s="20"/>
      <c r="M144" s="14" t="str">
        <f aca="true">IF($B144="","",IF($K144="Hoàn thành","Xong",IF($K144="Không áp dụng","—",IF($K144="Bị chặn","Bị chặn",IF($O144=1,"TRỄ "&amp;(TODAY()-$J144)&amp;" ngày",IF(AND($K144="Đang làm",$P144&gt;0),"Bước trước chưa xong",IF(AND($J144&lt;&gt;"",N($J144)-TODAY()&lt;=3),"Sắp đến hạn",IF($K144="Đang làm","Đang làm","Chưa bắt đầu"))))))))</f>
        <v/>
      </c>
      <c r="N144" s="25"/>
      <c r="O144" s="26" t="n">
        <f aca="true">IF(AND($B144&lt;&gt;"",$K144&lt;&gt;"Hoàn thành",$K144&lt;&gt;"Không áp dụng",$J144&lt;&gt;""),IF($J144&lt;TODAY(),1,0),0)</f>
        <v>0</v>
      </c>
      <c r="P144" s="26" t="n">
        <f aca="false">IF(AND($B144&lt;&gt;"",$C144&lt;&gt;"",N($C144)&gt;1),COUNTIFS(Task!$A$5:$A$404,$A144,Task!$C$5:$C$404,N($C144)-1,Task!$K$5:$K$404,"&lt;&gt;Hoàn thành",Task!$K$5:$K$404,"&lt;&gt;Không áp dụng"),0)</f>
        <v>0</v>
      </c>
    </row>
    <row r="145" customFormat="false" ht="15" hidden="false" customHeight="false" outlineLevel="0" collapsed="false">
      <c r="A145" s="19"/>
      <c r="B145" s="22"/>
      <c r="C145" s="14" t="str">
        <f aca="false">IF($B145="","",IFERROR(INDEX('Mẫu task'!$B$5:$B$64,MATCH($B145,'Mẫu task'!$A$5:$A$64,0)),""))</f>
        <v/>
      </c>
      <c r="D145" s="15" t="str">
        <f aca="false">IF($C145="","",IFERROR(INDEX('Quy trình'!$B$5:$B$12,MATCH($C145,'Quy trình'!$A$5:$A$12,0)),""))</f>
        <v/>
      </c>
      <c r="E145" s="23" t="str">
        <f aca="false">IF($B145="","",IFERROR(INDEX('Mẫu task'!$D$5:$D$64,MATCH($B145,'Mẫu task'!$A$5:$A$64,0)),""))</f>
        <v/>
      </c>
      <c r="F145" s="23" t="str">
        <f aca="false">IF($B145="","",IFERROR(INDEX('Mẫu task'!$E$5:$E$64,MATCH($B145,'Mẫu task'!$A$5:$A$64,0)),""))</f>
        <v/>
      </c>
      <c r="G145" s="19"/>
      <c r="H145" s="20"/>
      <c r="I145" s="14" t="str">
        <f aca="false">IF($B145="","",IFERROR(INDEX('Mẫu task'!$H$5:$H$64,MATCH($B145,'Mẫu task'!$A$5:$A$64,0)),""))</f>
        <v/>
      </c>
      <c r="J145" s="24" t="str">
        <f aca="false">IF(OR($H145="",$I145=""),"",$H145+$I145)</f>
        <v/>
      </c>
      <c r="K145" s="22"/>
      <c r="L145" s="20"/>
      <c r="M145" s="14" t="str">
        <f aca="true">IF($B145="","",IF($K145="Hoàn thành","Xong",IF($K145="Không áp dụng","—",IF($K145="Bị chặn","Bị chặn",IF($O145=1,"TRỄ "&amp;(TODAY()-$J145)&amp;" ngày",IF(AND($K145="Đang làm",$P145&gt;0),"Bước trước chưa xong",IF(AND($J145&lt;&gt;"",N($J145)-TODAY()&lt;=3),"Sắp đến hạn",IF($K145="Đang làm","Đang làm","Chưa bắt đầu"))))))))</f>
        <v/>
      </c>
      <c r="N145" s="25"/>
      <c r="O145" s="26" t="n">
        <f aca="true">IF(AND($B145&lt;&gt;"",$K145&lt;&gt;"Hoàn thành",$K145&lt;&gt;"Không áp dụng",$J145&lt;&gt;""),IF($J145&lt;TODAY(),1,0),0)</f>
        <v>0</v>
      </c>
      <c r="P145" s="26" t="n">
        <f aca="false">IF(AND($B145&lt;&gt;"",$C145&lt;&gt;"",N($C145)&gt;1),COUNTIFS(Task!$A$5:$A$404,$A145,Task!$C$5:$C$404,N($C145)-1,Task!$K$5:$K$404,"&lt;&gt;Hoàn thành",Task!$K$5:$K$404,"&lt;&gt;Không áp dụng"),0)</f>
        <v>0</v>
      </c>
    </row>
    <row r="146" customFormat="false" ht="15" hidden="false" customHeight="false" outlineLevel="0" collapsed="false">
      <c r="A146" s="19"/>
      <c r="B146" s="22"/>
      <c r="C146" s="14" t="str">
        <f aca="false">IF($B146="","",IFERROR(INDEX('Mẫu task'!$B$5:$B$64,MATCH($B146,'Mẫu task'!$A$5:$A$64,0)),""))</f>
        <v/>
      </c>
      <c r="D146" s="15" t="str">
        <f aca="false">IF($C146="","",IFERROR(INDEX('Quy trình'!$B$5:$B$12,MATCH($C146,'Quy trình'!$A$5:$A$12,0)),""))</f>
        <v/>
      </c>
      <c r="E146" s="23" t="str">
        <f aca="false">IF($B146="","",IFERROR(INDEX('Mẫu task'!$D$5:$D$64,MATCH($B146,'Mẫu task'!$A$5:$A$64,0)),""))</f>
        <v/>
      </c>
      <c r="F146" s="23" t="str">
        <f aca="false">IF($B146="","",IFERROR(INDEX('Mẫu task'!$E$5:$E$64,MATCH($B146,'Mẫu task'!$A$5:$A$64,0)),""))</f>
        <v/>
      </c>
      <c r="G146" s="19"/>
      <c r="H146" s="20"/>
      <c r="I146" s="14" t="str">
        <f aca="false">IF($B146="","",IFERROR(INDEX('Mẫu task'!$H$5:$H$64,MATCH($B146,'Mẫu task'!$A$5:$A$64,0)),""))</f>
        <v/>
      </c>
      <c r="J146" s="24" t="str">
        <f aca="false">IF(OR($H146="",$I146=""),"",$H146+$I146)</f>
        <v/>
      </c>
      <c r="K146" s="22"/>
      <c r="L146" s="20"/>
      <c r="M146" s="14" t="str">
        <f aca="true">IF($B146="","",IF($K146="Hoàn thành","Xong",IF($K146="Không áp dụng","—",IF($K146="Bị chặn","Bị chặn",IF($O146=1,"TRỄ "&amp;(TODAY()-$J146)&amp;" ngày",IF(AND($K146="Đang làm",$P146&gt;0),"Bước trước chưa xong",IF(AND($J146&lt;&gt;"",N($J146)-TODAY()&lt;=3),"Sắp đến hạn",IF($K146="Đang làm","Đang làm","Chưa bắt đầu"))))))))</f>
        <v/>
      </c>
      <c r="N146" s="25"/>
      <c r="O146" s="26" t="n">
        <f aca="true">IF(AND($B146&lt;&gt;"",$K146&lt;&gt;"Hoàn thành",$K146&lt;&gt;"Không áp dụng",$J146&lt;&gt;""),IF($J146&lt;TODAY(),1,0),0)</f>
        <v>0</v>
      </c>
      <c r="P146" s="26" t="n">
        <f aca="false">IF(AND($B146&lt;&gt;"",$C146&lt;&gt;"",N($C146)&gt;1),COUNTIFS(Task!$A$5:$A$404,$A146,Task!$C$5:$C$404,N($C146)-1,Task!$K$5:$K$404,"&lt;&gt;Hoàn thành",Task!$K$5:$K$404,"&lt;&gt;Không áp dụng"),0)</f>
        <v>0</v>
      </c>
    </row>
    <row r="147" customFormat="false" ht="15" hidden="false" customHeight="false" outlineLevel="0" collapsed="false">
      <c r="A147" s="19"/>
      <c r="B147" s="22"/>
      <c r="C147" s="14" t="str">
        <f aca="false">IF($B147="","",IFERROR(INDEX('Mẫu task'!$B$5:$B$64,MATCH($B147,'Mẫu task'!$A$5:$A$64,0)),""))</f>
        <v/>
      </c>
      <c r="D147" s="15" t="str">
        <f aca="false">IF($C147="","",IFERROR(INDEX('Quy trình'!$B$5:$B$12,MATCH($C147,'Quy trình'!$A$5:$A$12,0)),""))</f>
        <v/>
      </c>
      <c r="E147" s="23" t="str">
        <f aca="false">IF($B147="","",IFERROR(INDEX('Mẫu task'!$D$5:$D$64,MATCH($B147,'Mẫu task'!$A$5:$A$64,0)),""))</f>
        <v/>
      </c>
      <c r="F147" s="23" t="str">
        <f aca="false">IF($B147="","",IFERROR(INDEX('Mẫu task'!$E$5:$E$64,MATCH($B147,'Mẫu task'!$A$5:$A$64,0)),""))</f>
        <v/>
      </c>
      <c r="G147" s="19"/>
      <c r="H147" s="20"/>
      <c r="I147" s="14" t="str">
        <f aca="false">IF($B147="","",IFERROR(INDEX('Mẫu task'!$H$5:$H$64,MATCH($B147,'Mẫu task'!$A$5:$A$64,0)),""))</f>
        <v/>
      </c>
      <c r="J147" s="24" t="str">
        <f aca="false">IF(OR($H147="",$I147=""),"",$H147+$I147)</f>
        <v/>
      </c>
      <c r="K147" s="22"/>
      <c r="L147" s="20"/>
      <c r="M147" s="14" t="str">
        <f aca="true">IF($B147="","",IF($K147="Hoàn thành","Xong",IF($K147="Không áp dụng","—",IF($K147="Bị chặn","Bị chặn",IF($O147=1,"TRỄ "&amp;(TODAY()-$J147)&amp;" ngày",IF(AND($K147="Đang làm",$P147&gt;0),"Bước trước chưa xong",IF(AND($J147&lt;&gt;"",N($J147)-TODAY()&lt;=3),"Sắp đến hạn",IF($K147="Đang làm","Đang làm","Chưa bắt đầu"))))))))</f>
        <v/>
      </c>
      <c r="N147" s="25"/>
      <c r="O147" s="26" t="n">
        <f aca="true">IF(AND($B147&lt;&gt;"",$K147&lt;&gt;"Hoàn thành",$K147&lt;&gt;"Không áp dụng",$J147&lt;&gt;""),IF($J147&lt;TODAY(),1,0),0)</f>
        <v>0</v>
      </c>
      <c r="P147" s="26" t="n">
        <f aca="false">IF(AND($B147&lt;&gt;"",$C147&lt;&gt;"",N($C147)&gt;1),COUNTIFS(Task!$A$5:$A$404,$A147,Task!$C$5:$C$404,N($C147)-1,Task!$K$5:$K$404,"&lt;&gt;Hoàn thành",Task!$K$5:$K$404,"&lt;&gt;Không áp dụng"),0)</f>
        <v>0</v>
      </c>
    </row>
    <row r="148" customFormat="false" ht="15" hidden="false" customHeight="false" outlineLevel="0" collapsed="false">
      <c r="A148" s="19"/>
      <c r="B148" s="22"/>
      <c r="C148" s="14" t="str">
        <f aca="false">IF($B148="","",IFERROR(INDEX('Mẫu task'!$B$5:$B$64,MATCH($B148,'Mẫu task'!$A$5:$A$64,0)),""))</f>
        <v/>
      </c>
      <c r="D148" s="15" t="str">
        <f aca="false">IF($C148="","",IFERROR(INDEX('Quy trình'!$B$5:$B$12,MATCH($C148,'Quy trình'!$A$5:$A$12,0)),""))</f>
        <v/>
      </c>
      <c r="E148" s="23" t="str">
        <f aca="false">IF($B148="","",IFERROR(INDEX('Mẫu task'!$D$5:$D$64,MATCH($B148,'Mẫu task'!$A$5:$A$64,0)),""))</f>
        <v/>
      </c>
      <c r="F148" s="23" t="str">
        <f aca="false">IF($B148="","",IFERROR(INDEX('Mẫu task'!$E$5:$E$64,MATCH($B148,'Mẫu task'!$A$5:$A$64,0)),""))</f>
        <v/>
      </c>
      <c r="G148" s="19"/>
      <c r="H148" s="20"/>
      <c r="I148" s="14" t="str">
        <f aca="false">IF($B148="","",IFERROR(INDEX('Mẫu task'!$H$5:$H$64,MATCH($B148,'Mẫu task'!$A$5:$A$64,0)),""))</f>
        <v/>
      </c>
      <c r="J148" s="24" t="str">
        <f aca="false">IF(OR($H148="",$I148=""),"",$H148+$I148)</f>
        <v/>
      </c>
      <c r="K148" s="22"/>
      <c r="L148" s="20"/>
      <c r="M148" s="14" t="str">
        <f aca="true">IF($B148="","",IF($K148="Hoàn thành","Xong",IF($K148="Không áp dụng","—",IF($K148="Bị chặn","Bị chặn",IF($O148=1,"TRỄ "&amp;(TODAY()-$J148)&amp;" ngày",IF(AND($K148="Đang làm",$P148&gt;0),"Bước trước chưa xong",IF(AND($J148&lt;&gt;"",N($J148)-TODAY()&lt;=3),"Sắp đến hạn",IF($K148="Đang làm","Đang làm","Chưa bắt đầu"))))))))</f>
        <v/>
      </c>
      <c r="N148" s="25"/>
      <c r="O148" s="26" t="n">
        <f aca="true">IF(AND($B148&lt;&gt;"",$K148&lt;&gt;"Hoàn thành",$K148&lt;&gt;"Không áp dụng",$J148&lt;&gt;""),IF($J148&lt;TODAY(),1,0),0)</f>
        <v>0</v>
      </c>
      <c r="P148" s="26" t="n">
        <f aca="false">IF(AND($B148&lt;&gt;"",$C148&lt;&gt;"",N($C148)&gt;1),COUNTIFS(Task!$A$5:$A$404,$A148,Task!$C$5:$C$404,N($C148)-1,Task!$K$5:$K$404,"&lt;&gt;Hoàn thành",Task!$K$5:$K$404,"&lt;&gt;Không áp dụng"),0)</f>
        <v>0</v>
      </c>
    </row>
    <row r="149" customFormat="false" ht="15" hidden="false" customHeight="false" outlineLevel="0" collapsed="false">
      <c r="A149" s="19"/>
      <c r="B149" s="22"/>
      <c r="C149" s="14" t="str">
        <f aca="false">IF($B149="","",IFERROR(INDEX('Mẫu task'!$B$5:$B$64,MATCH($B149,'Mẫu task'!$A$5:$A$64,0)),""))</f>
        <v/>
      </c>
      <c r="D149" s="15" t="str">
        <f aca="false">IF($C149="","",IFERROR(INDEX('Quy trình'!$B$5:$B$12,MATCH($C149,'Quy trình'!$A$5:$A$12,0)),""))</f>
        <v/>
      </c>
      <c r="E149" s="23" t="str">
        <f aca="false">IF($B149="","",IFERROR(INDEX('Mẫu task'!$D$5:$D$64,MATCH($B149,'Mẫu task'!$A$5:$A$64,0)),""))</f>
        <v/>
      </c>
      <c r="F149" s="23" t="str">
        <f aca="false">IF($B149="","",IFERROR(INDEX('Mẫu task'!$E$5:$E$64,MATCH($B149,'Mẫu task'!$A$5:$A$64,0)),""))</f>
        <v/>
      </c>
      <c r="G149" s="19"/>
      <c r="H149" s="20"/>
      <c r="I149" s="14" t="str">
        <f aca="false">IF($B149="","",IFERROR(INDEX('Mẫu task'!$H$5:$H$64,MATCH($B149,'Mẫu task'!$A$5:$A$64,0)),""))</f>
        <v/>
      </c>
      <c r="J149" s="24" t="str">
        <f aca="false">IF(OR($H149="",$I149=""),"",$H149+$I149)</f>
        <v/>
      </c>
      <c r="K149" s="22"/>
      <c r="L149" s="20"/>
      <c r="M149" s="14" t="str">
        <f aca="true">IF($B149="","",IF($K149="Hoàn thành","Xong",IF($K149="Không áp dụng","—",IF($K149="Bị chặn","Bị chặn",IF($O149=1,"TRỄ "&amp;(TODAY()-$J149)&amp;" ngày",IF(AND($K149="Đang làm",$P149&gt;0),"Bước trước chưa xong",IF(AND($J149&lt;&gt;"",N($J149)-TODAY()&lt;=3),"Sắp đến hạn",IF($K149="Đang làm","Đang làm","Chưa bắt đầu"))))))))</f>
        <v/>
      </c>
      <c r="N149" s="25"/>
      <c r="O149" s="26" t="n">
        <f aca="true">IF(AND($B149&lt;&gt;"",$K149&lt;&gt;"Hoàn thành",$K149&lt;&gt;"Không áp dụng",$J149&lt;&gt;""),IF($J149&lt;TODAY(),1,0),0)</f>
        <v>0</v>
      </c>
      <c r="P149" s="26" t="n">
        <f aca="false">IF(AND($B149&lt;&gt;"",$C149&lt;&gt;"",N($C149)&gt;1),COUNTIFS(Task!$A$5:$A$404,$A149,Task!$C$5:$C$404,N($C149)-1,Task!$K$5:$K$404,"&lt;&gt;Hoàn thành",Task!$K$5:$K$404,"&lt;&gt;Không áp dụng"),0)</f>
        <v>0</v>
      </c>
    </row>
    <row r="150" customFormat="false" ht="15" hidden="false" customHeight="false" outlineLevel="0" collapsed="false">
      <c r="A150" s="19"/>
      <c r="B150" s="22"/>
      <c r="C150" s="14" t="str">
        <f aca="false">IF($B150="","",IFERROR(INDEX('Mẫu task'!$B$5:$B$64,MATCH($B150,'Mẫu task'!$A$5:$A$64,0)),""))</f>
        <v/>
      </c>
      <c r="D150" s="15" t="str">
        <f aca="false">IF($C150="","",IFERROR(INDEX('Quy trình'!$B$5:$B$12,MATCH($C150,'Quy trình'!$A$5:$A$12,0)),""))</f>
        <v/>
      </c>
      <c r="E150" s="23" t="str">
        <f aca="false">IF($B150="","",IFERROR(INDEX('Mẫu task'!$D$5:$D$64,MATCH($B150,'Mẫu task'!$A$5:$A$64,0)),""))</f>
        <v/>
      </c>
      <c r="F150" s="23" t="str">
        <f aca="false">IF($B150="","",IFERROR(INDEX('Mẫu task'!$E$5:$E$64,MATCH($B150,'Mẫu task'!$A$5:$A$64,0)),""))</f>
        <v/>
      </c>
      <c r="G150" s="19"/>
      <c r="H150" s="20"/>
      <c r="I150" s="14" t="str">
        <f aca="false">IF($B150="","",IFERROR(INDEX('Mẫu task'!$H$5:$H$64,MATCH($B150,'Mẫu task'!$A$5:$A$64,0)),""))</f>
        <v/>
      </c>
      <c r="J150" s="24" t="str">
        <f aca="false">IF(OR($H150="",$I150=""),"",$H150+$I150)</f>
        <v/>
      </c>
      <c r="K150" s="22"/>
      <c r="L150" s="20"/>
      <c r="M150" s="14" t="str">
        <f aca="true">IF($B150="","",IF($K150="Hoàn thành","Xong",IF($K150="Không áp dụng","—",IF($K150="Bị chặn","Bị chặn",IF($O150=1,"TRỄ "&amp;(TODAY()-$J150)&amp;" ngày",IF(AND($K150="Đang làm",$P150&gt;0),"Bước trước chưa xong",IF(AND($J150&lt;&gt;"",N($J150)-TODAY()&lt;=3),"Sắp đến hạn",IF($K150="Đang làm","Đang làm","Chưa bắt đầu"))))))))</f>
        <v/>
      </c>
      <c r="N150" s="25"/>
      <c r="O150" s="26" t="n">
        <f aca="true">IF(AND($B150&lt;&gt;"",$K150&lt;&gt;"Hoàn thành",$K150&lt;&gt;"Không áp dụng",$J150&lt;&gt;""),IF($J150&lt;TODAY(),1,0),0)</f>
        <v>0</v>
      </c>
      <c r="P150" s="26" t="n">
        <f aca="false">IF(AND($B150&lt;&gt;"",$C150&lt;&gt;"",N($C150)&gt;1),COUNTIFS(Task!$A$5:$A$404,$A150,Task!$C$5:$C$404,N($C150)-1,Task!$K$5:$K$404,"&lt;&gt;Hoàn thành",Task!$K$5:$K$404,"&lt;&gt;Không áp dụng"),0)</f>
        <v>0</v>
      </c>
    </row>
    <row r="151" customFormat="false" ht="15" hidden="false" customHeight="false" outlineLevel="0" collapsed="false">
      <c r="A151" s="19"/>
      <c r="B151" s="22"/>
      <c r="C151" s="14" t="str">
        <f aca="false">IF($B151="","",IFERROR(INDEX('Mẫu task'!$B$5:$B$64,MATCH($B151,'Mẫu task'!$A$5:$A$64,0)),""))</f>
        <v/>
      </c>
      <c r="D151" s="15" t="str">
        <f aca="false">IF($C151="","",IFERROR(INDEX('Quy trình'!$B$5:$B$12,MATCH($C151,'Quy trình'!$A$5:$A$12,0)),""))</f>
        <v/>
      </c>
      <c r="E151" s="23" t="str">
        <f aca="false">IF($B151="","",IFERROR(INDEX('Mẫu task'!$D$5:$D$64,MATCH($B151,'Mẫu task'!$A$5:$A$64,0)),""))</f>
        <v/>
      </c>
      <c r="F151" s="23" t="str">
        <f aca="false">IF($B151="","",IFERROR(INDEX('Mẫu task'!$E$5:$E$64,MATCH($B151,'Mẫu task'!$A$5:$A$64,0)),""))</f>
        <v/>
      </c>
      <c r="G151" s="19"/>
      <c r="H151" s="20"/>
      <c r="I151" s="14" t="str">
        <f aca="false">IF($B151="","",IFERROR(INDEX('Mẫu task'!$H$5:$H$64,MATCH($B151,'Mẫu task'!$A$5:$A$64,0)),""))</f>
        <v/>
      </c>
      <c r="J151" s="24" t="str">
        <f aca="false">IF(OR($H151="",$I151=""),"",$H151+$I151)</f>
        <v/>
      </c>
      <c r="K151" s="22"/>
      <c r="L151" s="20"/>
      <c r="M151" s="14" t="str">
        <f aca="true">IF($B151="","",IF($K151="Hoàn thành","Xong",IF($K151="Không áp dụng","—",IF($K151="Bị chặn","Bị chặn",IF($O151=1,"TRỄ "&amp;(TODAY()-$J151)&amp;" ngày",IF(AND($K151="Đang làm",$P151&gt;0),"Bước trước chưa xong",IF(AND($J151&lt;&gt;"",N($J151)-TODAY()&lt;=3),"Sắp đến hạn",IF($K151="Đang làm","Đang làm","Chưa bắt đầu"))))))))</f>
        <v/>
      </c>
      <c r="N151" s="25"/>
      <c r="O151" s="26" t="n">
        <f aca="true">IF(AND($B151&lt;&gt;"",$K151&lt;&gt;"Hoàn thành",$K151&lt;&gt;"Không áp dụng",$J151&lt;&gt;""),IF($J151&lt;TODAY(),1,0),0)</f>
        <v>0</v>
      </c>
      <c r="P151" s="26" t="n">
        <f aca="false">IF(AND($B151&lt;&gt;"",$C151&lt;&gt;"",N($C151)&gt;1),COUNTIFS(Task!$A$5:$A$404,$A151,Task!$C$5:$C$404,N($C151)-1,Task!$K$5:$K$404,"&lt;&gt;Hoàn thành",Task!$K$5:$K$404,"&lt;&gt;Không áp dụng"),0)</f>
        <v>0</v>
      </c>
    </row>
    <row r="152" customFormat="false" ht="15" hidden="false" customHeight="false" outlineLevel="0" collapsed="false">
      <c r="A152" s="19"/>
      <c r="B152" s="22"/>
      <c r="C152" s="14" t="str">
        <f aca="false">IF($B152="","",IFERROR(INDEX('Mẫu task'!$B$5:$B$64,MATCH($B152,'Mẫu task'!$A$5:$A$64,0)),""))</f>
        <v/>
      </c>
      <c r="D152" s="15" t="str">
        <f aca="false">IF($C152="","",IFERROR(INDEX('Quy trình'!$B$5:$B$12,MATCH($C152,'Quy trình'!$A$5:$A$12,0)),""))</f>
        <v/>
      </c>
      <c r="E152" s="23" t="str">
        <f aca="false">IF($B152="","",IFERROR(INDEX('Mẫu task'!$D$5:$D$64,MATCH($B152,'Mẫu task'!$A$5:$A$64,0)),""))</f>
        <v/>
      </c>
      <c r="F152" s="23" t="str">
        <f aca="false">IF($B152="","",IFERROR(INDEX('Mẫu task'!$E$5:$E$64,MATCH($B152,'Mẫu task'!$A$5:$A$64,0)),""))</f>
        <v/>
      </c>
      <c r="G152" s="19"/>
      <c r="H152" s="20"/>
      <c r="I152" s="14" t="str">
        <f aca="false">IF($B152="","",IFERROR(INDEX('Mẫu task'!$H$5:$H$64,MATCH($B152,'Mẫu task'!$A$5:$A$64,0)),""))</f>
        <v/>
      </c>
      <c r="J152" s="24" t="str">
        <f aca="false">IF(OR($H152="",$I152=""),"",$H152+$I152)</f>
        <v/>
      </c>
      <c r="K152" s="22"/>
      <c r="L152" s="20"/>
      <c r="M152" s="14" t="str">
        <f aca="true">IF($B152="","",IF($K152="Hoàn thành","Xong",IF($K152="Không áp dụng","—",IF($K152="Bị chặn","Bị chặn",IF($O152=1,"TRỄ "&amp;(TODAY()-$J152)&amp;" ngày",IF(AND($K152="Đang làm",$P152&gt;0),"Bước trước chưa xong",IF(AND($J152&lt;&gt;"",N($J152)-TODAY()&lt;=3),"Sắp đến hạn",IF($K152="Đang làm","Đang làm","Chưa bắt đầu"))))))))</f>
        <v/>
      </c>
      <c r="N152" s="25"/>
      <c r="O152" s="26" t="n">
        <f aca="true">IF(AND($B152&lt;&gt;"",$K152&lt;&gt;"Hoàn thành",$K152&lt;&gt;"Không áp dụng",$J152&lt;&gt;""),IF($J152&lt;TODAY(),1,0),0)</f>
        <v>0</v>
      </c>
      <c r="P152" s="26" t="n">
        <f aca="false">IF(AND($B152&lt;&gt;"",$C152&lt;&gt;"",N($C152)&gt;1),COUNTIFS(Task!$A$5:$A$404,$A152,Task!$C$5:$C$404,N($C152)-1,Task!$K$5:$K$404,"&lt;&gt;Hoàn thành",Task!$K$5:$K$404,"&lt;&gt;Không áp dụng"),0)</f>
        <v>0</v>
      </c>
    </row>
    <row r="153" customFormat="false" ht="15" hidden="false" customHeight="false" outlineLevel="0" collapsed="false">
      <c r="A153" s="19"/>
      <c r="B153" s="22"/>
      <c r="C153" s="14" t="str">
        <f aca="false">IF($B153="","",IFERROR(INDEX('Mẫu task'!$B$5:$B$64,MATCH($B153,'Mẫu task'!$A$5:$A$64,0)),""))</f>
        <v/>
      </c>
      <c r="D153" s="15" t="str">
        <f aca="false">IF($C153="","",IFERROR(INDEX('Quy trình'!$B$5:$B$12,MATCH($C153,'Quy trình'!$A$5:$A$12,0)),""))</f>
        <v/>
      </c>
      <c r="E153" s="23" t="str">
        <f aca="false">IF($B153="","",IFERROR(INDEX('Mẫu task'!$D$5:$D$64,MATCH($B153,'Mẫu task'!$A$5:$A$64,0)),""))</f>
        <v/>
      </c>
      <c r="F153" s="23" t="str">
        <f aca="false">IF($B153="","",IFERROR(INDEX('Mẫu task'!$E$5:$E$64,MATCH($B153,'Mẫu task'!$A$5:$A$64,0)),""))</f>
        <v/>
      </c>
      <c r="G153" s="19"/>
      <c r="H153" s="20"/>
      <c r="I153" s="14" t="str">
        <f aca="false">IF($B153="","",IFERROR(INDEX('Mẫu task'!$H$5:$H$64,MATCH($B153,'Mẫu task'!$A$5:$A$64,0)),""))</f>
        <v/>
      </c>
      <c r="J153" s="24" t="str">
        <f aca="false">IF(OR($H153="",$I153=""),"",$H153+$I153)</f>
        <v/>
      </c>
      <c r="K153" s="22"/>
      <c r="L153" s="20"/>
      <c r="M153" s="14" t="str">
        <f aca="true">IF($B153="","",IF($K153="Hoàn thành","Xong",IF($K153="Không áp dụng","—",IF($K153="Bị chặn","Bị chặn",IF($O153=1,"TRỄ "&amp;(TODAY()-$J153)&amp;" ngày",IF(AND($K153="Đang làm",$P153&gt;0),"Bước trước chưa xong",IF(AND($J153&lt;&gt;"",N($J153)-TODAY()&lt;=3),"Sắp đến hạn",IF($K153="Đang làm","Đang làm","Chưa bắt đầu"))))))))</f>
        <v/>
      </c>
      <c r="N153" s="25"/>
      <c r="O153" s="26" t="n">
        <f aca="true">IF(AND($B153&lt;&gt;"",$K153&lt;&gt;"Hoàn thành",$K153&lt;&gt;"Không áp dụng",$J153&lt;&gt;""),IF($J153&lt;TODAY(),1,0),0)</f>
        <v>0</v>
      </c>
      <c r="P153" s="26" t="n">
        <f aca="false">IF(AND($B153&lt;&gt;"",$C153&lt;&gt;"",N($C153)&gt;1),COUNTIFS(Task!$A$5:$A$404,$A153,Task!$C$5:$C$404,N($C153)-1,Task!$K$5:$K$404,"&lt;&gt;Hoàn thành",Task!$K$5:$K$404,"&lt;&gt;Không áp dụng"),0)</f>
        <v>0</v>
      </c>
    </row>
    <row r="154" customFormat="false" ht="15" hidden="false" customHeight="false" outlineLevel="0" collapsed="false">
      <c r="A154" s="19"/>
      <c r="B154" s="22"/>
      <c r="C154" s="14" t="str">
        <f aca="false">IF($B154="","",IFERROR(INDEX('Mẫu task'!$B$5:$B$64,MATCH($B154,'Mẫu task'!$A$5:$A$64,0)),""))</f>
        <v/>
      </c>
      <c r="D154" s="15" t="str">
        <f aca="false">IF($C154="","",IFERROR(INDEX('Quy trình'!$B$5:$B$12,MATCH($C154,'Quy trình'!$A$5:$A$12,0)),""))</f>
        <v/>
      </c>
      <c r="E154" s="23" t="str">
        <f aca="false">IF($B154="","",IFERROR(INDEX('Mẫu task'!$D$5:$D$64,MATCH($B154,'Mẫu task'!$A$5:$A$64,0)),""))</f>
        <v/>
      </c>
      <c r="F154" s="23" t="str">
        <f aca="false">IF($B154="","",IFERROR(INDEX('Mẫu task'!$E$5:$E$64,MATCH($B154,'Mẫu task'!$A$5:$A$64,0)),""))</f>
        <v/>
      </c>
      <c r="G154" s="19"/>
      <c r="H154" s="20"/>
      <c r="I154" s="14" t="str">
        <f aca="false">IF($B154="","",IFERROR(INDEX('Mẫu task'!$H$5:$H$64,MATCH($B154,'Mẫu task'!$A$5:$A$64,0)),""))</f>
        <v/>
      </c>
      <c r="J154" s="24" t="str">
        <f aca="false">IF(OR($H154="",$I154=""),"",$H154+$I154)</f>
        <v/>
      </c>
      <c r="K154" s="22"/>
      <c r="L154" s="20"/>
      <c r="M154" s="14" t="str">
        <f aca="true">IF($B154="","",IF($K154="Hoàn thành","Xong",IF($K154="Không áp dụng","—",IF($K154="Bị chặn","Bị chặn",IF($O154=1,"TRỄ "&amp;(TODAY()-$J154)&amp;" ngày",IF(AND($K154="Đang làm",$P154&gt;0),"Bước trước chưa xong",IF(AND($J154&lt;&gt;"",N($J154)-TODAY()&lt;=3),"Sắp đến hạn",IF($K154="Đang làm","Đang làm","Chưa bắt đầu"))))))))</f>
        <v/>
      </c>
      <c r="N154" s="25"/>
      <c r="O154" s="26" t="n">
        <f aca="true">IF(AND($B154&lt;&gt;"",$K154&lt;&gt;"Hoàn thành",$K154&lt;&gt;"Không áp dụng",$J154&lt;&gt;""),IF($J154&lt;TODAY(),1,0),0)</f>
        <v>0</v>
      </c>
      <c r="P154" s="26" t="n">
        <f aca="false">IF(AND($B154&lt;&gt;"",$C154&lt;&gt;"",N($C154)&gt;1),COUNTIFS(Task!$A$5:$A$404,$A154,Task!$C$5:$C$404,N($C154)-1,Task!$K$5:$K$404,"&lt;&gt;Hoàn thành",Task!$K$5:$K$404,"&lt;&gt;Không áp dụng"),0)</f>
        <v>0</v>
      </c>
    </row>
    <row r="155" customFormat="false" ht="15" hidden="false" customHeight="false" outlineLevel="0" collapsed="false">
      <c r="A155" s="19"/>
      <c r="B155" s="22"/>
      <c r="C155" s="14" t="str">
        <f aca="false">IF($B155="","",IFERROR(INDEX('Mẫu task'!$B$5:$B$64,MATCH($B155,'Mẫu task'!$A$5:$A$64,0)),""))</f>
        <v/>
      </c>
      <c r="D155" s="15" t="str">
        <f aca="false">IF($C155="","",IFERROR(INDEX('Quy trình'!$B$5:$B$12,MATCH($C155,'Quy trình'!$A$5:$A$12,0)),""))</f>
        <v/>
      </c>
      <c r="E155" s="23" t="str">
        <f aca="false">IF($B155="","",IFERROR(INDEX('Mẫu task'!$D$5:$D$64,MATCH($B155,'Mẫu task'!$A$5:$A$64,0)),""))</f>
        <v/>
      </c>
      <c r="F155" s="23" t="str">
        <f aca="false">IF($B155="","",IFERROR(INDEX('Mẫu task'!$E$5:$E$64,MATCH($B155,'Mẫu task'!$A$5:$A$64,0)),""))</f>
        <v/>
      </c>
      <c r="G155" s="19"/>
      <c r="H155" s="20"/>
      <c r="I155" s="14" t="str">
        <f aca="false">IF($B155="","",IFERROR(INDEX('Mẫu task'!$H$5:$H$64,MATCH($B155,'Mẫu task'!$A$5:$A$64,0)),""))</f>
        <v/>
      </c>
      <c r="J155" s="24" t="str">
        <f aca="false">IF(OR($H155="",$I155=""),"",$H155+$I155)</f>
        <v/>
      </c>
      <c r="K155" s="22"/>
      <c r="L155" s="20"/>
      <c r="M155" s="14" t="str">
        <f aca="true">IF($B155="","",IF($K155="Hoàn thành","Xong",IF($K155="Không áp dụng","—",IF($K155="Bị chặn","Bị chặn",IF($O155=1,"TRỄ "&amp;(TODAY()-$J155)&amp;" ngày",IF(AND($K155="Đang làm",$P155&gt;0),"Bước trước chưa xong",IF(AND($J155&lt;&gt;"",N($J155)-TODAY()&lt;=3),"Sắp đến hạn",IF($K155="Đang làm","Đang làm","Chưa bắt đầu"))))))))</f>
        <v/>
      </c>
      <c r="N155" s="25"/>
      <c r="O155" s="26" t="n">
        <f aca="true">IF(AND($B155&lt;&gt;"",$K155&lt;&gt;"Hoàn thành",$K155&lt;&gt;"Không áp dụng",$J155&lt;&gt;""),IF($J155&lt;TODAY(),1,0),0)</f>
        <v>0</v>
      </c>
      <c r="P155" s="26" t="n">
        <f aca="false">IF(AND($B155&lt;&gt;"",$C155&lt;&gt;"",N($C155)&gt;1),COUNTIFS(Task!$A$5:$A$404,$A155,Task!$C$5:$C$404,N($C155)-1,Task!$K$5:$K$404,"&lt;&gt;Hoàn thành",Task!$K$5:$K$404,"&lt;&gt;Không áp dụng"),0)</f>
        <v>0</v>
      </c>
    </row>
    <row r="156" customFormat="false" ht="15" hidden="false" customHeight="false" outlineLevel="0" collapsed="false">
      <c r="A156" s="19"/>
      <c r="B156" s="22"/>
      <c r="C156" s="14" t="str">
        <f aca="false">IF($B156="","",IFERROR(INDEX('Mẫu task'!$B$5:$B$64,MATCH($B156,'Mẫu task'!$A$5:$A$64,0)),""))</f>
        <v/>
      </c>
      <c r="D156" s="15" t="str">
        <f aca="false">IF($C156="","",IFERROR(INDEX('Quy trình'!$B$5:$B$12,MATCH($C156,'Quy trình'!$A$5:$A$12,0)),""))</f>
        <v/>
      </c>
      <c r="E156" s="23" t="str">
        <f aca="false">IF($B156="","",IFERROR(INDEX('Mẫu task'!$D$5:$D$64,MATCH($B156,'Mẫu task'!$A$5:$A$64,0)),""))</f>
        <v/>
      </c>
      <c r="F156" s="23" t="str">
        <f aca="false">IF($B156="","",IFERROR(INDEX('Mẫu task'!$E$5:$E$64,MATCH($B156,'Mẫu task'!$A$5:$A$64,0)),""))</f>
        <v/>
      </c>
      <c r="G156" s="19"/>
      <c r="H156" s="20"/>
      <c r="I156" s="14" t="str">
        <f aca="false">IF($B156="","",IFERROR(INDEX('Mẫu task'!$H$5:$H$64,MATCH($B156,'Mẫu task'!$A$5:$A$64,0)),""))</f>
        <v/>
      </c>
      <c r="J156" s="24" t="str">
        <f aca="false">IF(OR($H156="",$I156=""),"",$H156+$I156)</f>
        <v/>
      </c>
      <c r="K156" s="22"/>
      <c r="L156" s="20"/>
      <c r="M156" s="14" t="str">
        <f aca="true">IF($B156="","",IF($K156="Hoàn thành","Xong",IF($K156="Không áp dụng","—",IF($K156="Bị chặn","Bị chặn",IF($O156=1,"TRỄ "&amp;(TODAY()-$J156)&amp;" ngày",IF(AND($K156="Đang làm",$P156&gt;0),"Bước trước chưa xong",IF(AND($J156&lt;&gt;"",N($J156)-TODAY()&lt;=3),"Sắp đến hạn",IF($K156="Đang làm","Đang làm","Chưa bắt đầu"))))))))</f>
        <v/>
      </c>
      <c r="N156" s="25"/>
      <c r="O156" s="26" t="n">
        <f aca="true">IF(AND($B156&lt;&gt;"",$K156&lt;&gt;"Hoàn thành",$K156&lt;&gt;"Không áp dụng",$J156&lt;&gt;""),IF($J156&lt;TODAY(),1,0),0)</f>
        <v>0</v>
      </c>
      <c r="P156" s="26" t="n">
        <f aca="false">IF(AND($B156&lt;&gt;"",$C156&lt;&gt;"",N($C156)&gt;1),COUNTIFS(Task!$A$5:$A$404,$A156,Task!$C$5:$C$404,N($C156)-1,Task!$K$5:$K$404,"&lt;&gt;Hoàn thành",Task!$K$5:$K$404,"&lt;&gt;Không áp dụng"),0)</f>
        <v>0</v>
      </c>
    </row>
    <row r="157" customFormat="false" ht="15" hidden="false" customHeight="false" outlineLevel="0" collapsed="false">
      <c r="A157" s="19"/>
      <c r="B157" s="22"/>
      <c r="C157" s="14" t="str">
        <f aca="false">IF($B157="","",IFERROR(INDEX('Mẫu task'!$B$5:$B$64,MATCH($B157,'Mẫu task'!$A$5:$A$64,0)),""))</f>
        <v/>
      </c>
      <c r="D157" s="15" t="str">
        <f aca="false">IF($C157="","",IFERROR(INDEX('Quy trình'!$B$5:$B$12,MATCH($C157,'Quy trình'!$A$5:$A$12,0)),""))</f>
        <v/>
      </c>
      <c r="E157" s="23" t="str">
        <f aca="false">IF($B157="","",IFERROR(INDEX('Mẫu task'!$D$5:$D$64,MATCH($B157,'Mẫu task'!$A$5:$A$64,0)),""))</f>
        <v/>
      </c>
      <c r="F157" s="23" t="str">
        <f aca="false">IF($B157="","",IFERROR(INDEX('Mẫu task'!$E$5:$E$64,MATCH($B157,'Mẫu task'!$A$5:$A$64,0)),""))</f>
        <v/>
      </c>
      <c r="G157" s="19"/>
      <c r="H157" s="20"/>
      <c r="I157" s="14" t="str">
        <f aca="false">IF($B157="","",IFERROR(INDEX('Mẫu task'!$H$5:$H$64,MATCH($B157,'Mẫu task'!$A$5:$A$64,0)),""))</f>
        <v/>
      </c>
      <c r="J157" s="24" t="str">
        <f aca="false">IF(OR($H157="",$I157=""),"",$H157+$I157)</f>
        <v/>
      </c>
      <c r="K157" s="22"/>
      <c r="L157" s="20"/>
      <c r="M157" s="14" t="str">
        <f aca="true">IF($B157="","",IF($K157="Hoàn thành","Xong",IF($K157="Không áp dụng","—",IF($K157="Bị chặn","Bị chặn",IF($O157=1,"TRỄ "&amp;(TODAY()-$J157)&amp;" ngày",IF(AND($K157="Đang làm",$P157&gt;0),"Bước trước chưa xong",IF(AND($J157&lt;&gt;"",N($J157)-TODAY()&lt;=3),"Sắp đến hạn",IF($K157="Đang làm","Đang làm","Chưa bắt đầu"))))))))</f>
        <v/>
      </c>
      <c r="N157" s="25"/>
      <c r="O157" s="26" t="n">
        <f aca="true">IF(AND($B157&lt;&gt;"",$K157&lt;&gt;"Hoàn thành",$K157&lt;&gt;"Không áp dụng",$J157&lt;&gt;""),IF($J157&lt;TODAY(),1,0),0)</f>
        <v>0</v>
      </c>
      <c r="P157" s="26" t="n">
        <f aca="false">IF(AND($B157&lt;&gt;"",$C157&lt;&gt;"",N($C157)&gt;1),COUNTIFS(Task!$A$5:$A$404,$A157,Task!$C$5:$C$404,N($C157)-1,Task!$K$5:$K$404,"&lt;&gt;Hoàn thành",Task!$K$5:$K$404,"&lt;&gt;Không áp dụng"),0)</f>
        <v>0</v>
      </c>
    </row>
    <row r="158" customFormat="false" ht="15" hidden="false" customHeight="false" outlineLevel="0" collapsed="false">
      <c r="A158" s="19"/>
      <c r="B158" s="22"/>
      <c r="C158" s="14" t="str">
        <f aca="false">IF($B158="","",IFERROR(INDEX('Mẫu task'!$B$5:$B$64,MATCH($B158,'Mẫu task'!$A$5:$A$64,0)),""))</f>
        <v/>
      </c>
      <c r="D158" s="15" t="str">
        <f aca="false">IF($C158="","",IFERROR(INDEX('Quy trình'!$B$5:$B$12,MATCH($C158,'Quy trình'!$A$5:$A$12,0)),""))</f>
        <v/>
      </c>
      <c r="E158" s="23" t="str">
        <f aca="false">IF($B158="","",IFERROR(INDEX('Mẫu task'!$D$5:$D$64,MATCH($B158,'Mẫu task'!$A$5:$A$64,0)),""))</f>
        <v/>
      </c>
      <c r="F158" s="23" t="str">
        <f aca="false">IF($B158="","",IFERROR(INDEX('Mẫu task'!$E$5:$E$64,MATCH($B158,'Mẫu task'!$A$5:$A$64,0)),""))</f>
        <v/>
      </c>
      <c r="G158" s="19"/>
      <c r="H158" s="20"/>
      <c r="I158" s="14" t="str">
        <f aca="false">IF($B158="","",IFERROR(INDEX('Mẫu task'!$H$5:$H$64,MATCH($B158,'Mẫu task'!$A$5:$A$64,0)),""))</f>
        <v/>
      </c>
      <c r="J158" s="24" t="str">
        <f aca="false">IF(OR($H158="",$I158=""),"",$H158+$I158)</f>
        <v/>
      </c>
      <c r="K158" s="22"/>
      <c r="L158" s="20"/>
      <c r="M158" s="14" t="str">
        <f aca="true">IF($B158="","",IF($K158="Hoàn thành","Xong",IF($K158="Không áp dụng","—",IF($K158="Bị chặn","Bị chặn",IF($O158=1,"TRỄ "&amp;(TODAY()-$J158)&amp;" ngày",IF(AND($K158="Đang làm",$P158&gt;0),"Bước trước chưa xong",IF(AND($J158&lt;&gt;"",N($J158)-TODAY()&lt;=3),"Sắp đến hạn",IF($K158="Đang làm","Đang làm","Chưa bắt đầu"))))))))</f>
        <v/>
      </c>
      <c r="N158" s="25"/>
      <c r="O158" s="26" t="n">
        <f aca="true">IF(AND($B158&lt;&gt;"",$K158&lt;&gt;"Hoàn thành",$K158&lt;&gt;"Không áp dụng",$J158&lt;&gt;""),IF($J158&lt;TODAY(),1,0),0)</f>
        <v>0</v>
      </c>
      <c r="P158" s="26" t="n">
        <f aca="false">IF(AND($B158&lt;&gt;"",$C158&lt;&gt;"",N($C158)&gt;1),COUNTIFS(Task!$A$5:$A$404,$A158,Task!$C$5:$C$404,N($C158)-1,Task!$K$5:$K$404,"&lt;&gt;Hoàn thành",Task!$K$5:$K$404,"&lt;&gt;Không áp dụng"),0)</f>
        <v>0</v>
      </c>
    </row>
    <row r="159" customFormat="false" ht="15" hidden="false" customHeight="false" outlineLevel="0" collapsed="false">
      <c r="A159" s="19"/>
      <c r="B159" s="22"/>
      <c r="C159" s="14" t="str">
        <f aca="false">IF($B159="","",IFERROR(INDEX('Mẫu task'!$B$5:$B$64,MATCH($B159,'Mẫu task'!$A$5:$A$64,0)),""))</f>
        <v/>
      </c>
      <c r="D159" s="15" t="str">
        <f aca="false">IF($C159="","",IFERROR(INDEX('Quy trình'!$B$5:$B$12,MATCH($C159,'Quy trình'!$A$5:$A$12,0)),""))</f>
        <v/>
      </c>
      <c r="E159" s="23" t="str">
        <f aca="false">IF($B159="","",IFERROR(INDEX('Mẫu task'!$D$5:$D$64,MATCH($B159,'Mẫu task'!$A$5:$A$64,0)),""))</f>
        <v/>
      </c>
      <c r="F159" s="23" t="str">
        <f aca="false">IF($B159="","",IFERROR(INDEX('Mẫu task'!$E$5:$E$64,MATCH($B159,'Mẫu task'!$A$5:$A$64,0)),""))</f>
        <v/>
      </c>
      <c r="G159" s="19"/>
      <c r="H159" s="20"/>
      <c r="I159" s="14" t="str">
        <f aca="false">IF($B159="","",IFERROR(INDEX('Mẫu task'!$H$5:$H$64,MATCH($B159,'Mẫu task'!$A$5:$A$64,0)),""))</f>
        <v/>
      </c>
      <c r="J159" s="24" t="str">
        <f aca="false">IF(OR($H159="",$I159=""),"",$H159+$I159)</f>
        <v/>
      </c>
      <c r="K159" s="22"/>
      <c r="L159" s="20"/>
      <c r="M159" s="14" t="str">
        <f aca="true">IF($B159="","",IF($K159="Hoàn thành","Xong",IF($K159="Không áp dụng","—",IF($K159="Bị chặn","Bị chặn",IF($O159=1,"TRỄ "&amp;(TODAY()-$J159)&amp;" ngày",IF(AND($K159="Đang làm",$P159&gt;0),"Bước trước chưa xong",IF(AND($J159&lt;&gt;"",N($J159)-TODAY()&lt;=3),"Sắp đến hạn",IF($K159="Đang làm","Đang làm","Chưa bắt đầu"))))))))</f>
        <v/>
      </c>
      <c r="N159" s="25"/>
      <c r="O159" s="26" t="n">
        <f aca="true">IF(AND($B159&lt;&gt;"",$K159&lt;&gt;"Hoàn thành",$K159&lt;&gt;"Không áp dụng",$J159&lt;&gt;""),IF($J159&lt;TODAY(),1,0),0)</f>
        <v>0</v>
      </c>
      <c r="P159" s="26" t="n">
        <f aca="false">IF(AND($B159&lt;&gt;"",$C159&lt;&gt;"",N($C159)&gt;1),COUNTIFS(Task!$A$5:$A$404,$A159,Task!$C$5:$C$404,N($C159)-1,Task!$K$5:$K$404,"&lt;&gt;Hoàn thành",Task!$K$5:$K$404,"&lt;&gt;Không áp dụng"),0)</f>
        <v>0</v>
      </c>
    </row>
    <row r="160" customFormat="false" ht="15" hidden="false" customHeight="false" outlineLevel="0" collapsed="false">
      <c r="A160" s="19"/>
      <c r="B160" s="22"/>
      <c r="C160" s="14" t="str">
        <f aca="false">IF($B160="","",IFERROR(INDEX('Mẫu task'!$B$5:$B$64,MATCH($B160,'Mẫu task'!$A$5:$A$64,0)),""))</f>
        <v/>
      </c>
      <c r="D160" s="15" t="str">
        <f aca="false">IF($C160="","",IFERROR(INDEX('Quy trình'!$B$5:$B$12,MATCH($C160,'Quy trình'!$A$5:$A$12,0)),""))</f>
        <v/>
      </c>
      <c r="E160" s="23" t="str">
        <f aca="false">IF($B160="","",IFERROR(INDEX('Mẫu task'!$D$5:$D$64,MATCH($B160,'Mẫu task'!$A$5:$A$64,0)),""))</f>
        <v/>
      </c>
      <c r="F160" s="23" t="str">
        <f aca="false">IF($B160="","",IFERROR(INDEX('Mẫu task'!$E$5:$E$64,MATCH($B160,'Mẫu task'!$A$5:$A$64,0)),""))</f>
        <v/>
      </c>
      <c r="G160" s="19"/>
      <c r="H160" s="20"/>
      <c r="I160" s="14" t="str">
        <f aca="false">IF($B160="","",IFERROR(INDEX('Mẫu task'!$H$5:$H$64,MATCH($B160,'Mẫu task'!$A$5:$A$64,0)),""))</f>
        <v/>
      </c>
      <c r="J160" s="24" t="str">
        <f aca="false">IF(OR($H160="",$I160=""),"",$H160+$I160)</f>
        <v/>
      </c>
      <c r="K160" s="22"/>
      <c r="L160" s="20"/>
      <c r="M160" s="14" t="str">
        <f aca="true">IF($B160="","",IF($K160="Hoàn thành","Xong",IF($K160="Không áp dụng","—",IF($K160="Bị chặn","Bị chặn",IF($O160=1,"TRỄ "&amp;(TODAY()-$J160)&amp;" ngày",IF(AND($K160="Đang làm",$P160&gt;0),"Bước trước chưa xong",IF(AND($J160&lt;&gt;"",N($J160)-TODAY()&lt;=3),"Sắp đến hạn",IF($K160="Đang làm","Đang làm","Chưa bắt đầu"))))))))</f>
        <v/>
      </c>
      <c r="N160" s="25"/>
      <c r="O160" s="26" t="n">
        <f aca="true">IF(AND($B160&lt;&gt;"",$K160&lt;&gt;"Hoàn thành",$K160&lt;&gt;"Không áp dụng",$J160&lt;&gt;""),IF($J160&lt;TODAY(),1,0),0)</f>
        <v>0</v>
      </c>
      <c r="P160" s="26" t="n">
        <f aca="false">IF(AND($B160&lt;&gt;"",$C160&lt;&gt;"",N($C160)&gt;1),COUNTIFS(Task!$A$5:$A$404,$A160,Task!$C$5:$C$404,N($C160)-1,Task!$K$5:$K$404,"&lt;&gt;Hoàn thành",Task!$K$5:$K$404,"&lt;&gt;Không áp dụng"),0)</f>
        <v>0</v>
      </c>
    </row>
    <row r="161" customFormat="false" ht="15" hidden="false" customHeight="false" outlineLevel="0" collapsed="false">
      <c r="A161" s="19"/>
      <c r="B161" s="22"/>
      <c r="C161" s="14" t="str">
        <f aca="false">IF($B161="","",IFERROR(INDEX('Mẫu task'!$B$5:$B$64,MATCH($B161,'Mẫu task'!$A$5:$A$64,0)),""))</f>
        <v/>
      </c>
      <c r="D161" s="15" t="str">
        <f aca="false">IF($C161="","",IFERROR(INDEX('Quy trình'!$B$5:$B$12,MATCH($C161,'Quy trình'!$A$5:$A$12,0)),""))</f>
        <v/>
      </c>
      <c r="E161" s="23" t="str">
        <f aca="false">IF($B161="","",IFERROR(INDEX('Mẫu task'!$D$5:$D$64,MATCH($B161,'Mẫu task'!$A$5:$A$64,0)),""))</f>
        <v/>
      </c>
      <c r="F161" s="23" t="str">
        <f aca="false">IF($B161="","",IFERROR(INDEX('Mẫu task'!$E$5:$E$64,MATCH($B161,'Mẫu task'!$A$5:$A$64,0)),""))</f>
        <v/>
      </c>
      <c r="G161" s="19"/>
      <c r="H161" s="20"/>
      <c r="I161" s="14" t="str">
        <f aca="false">IF($B161="","",IFERROR(INDEX('Mẫu task'!$H$5:$H$64,MATCH($B161,'Mẫu task'!$A$5:$A$64,0)),""))</f>
        <v/>
      </c>
      <c r="J161" s="24" t="str">
        <f aca="false">IF(OR($H161="",$I161=""),"",$H161+$I161)</f>
        <v/>
      </c>
      <c r="K161" s="22"/>
      <c r="L161" s="20"/>
      <c r="M161" s="14" t="str">
        <f aca="true">IF($B161="","",IF($K161="Hoàn thành","Xong",IF($K161="Không áp dụng","—",IF($K161="Bị chặn","Bị chặn",IF($O161=1,"TRỄ "&amp;(TODAY()-$J161)&amp;" ngày",IF(AND($K161="Đang làm",$P161&gt;0),"Bước trước chưa xong",IF(AND($J161&lt;&gt;"",N($J161)-TODAY()&lt;=3),"Sắp đến hạn",IF($K161="Đang làm","Đang làm","Chưa bắt đầu"))))))))</f>
        <v/>
      </c>
      <c r="N161" s="25"/>
      <c r="O161" s="26" t="n">
        <f aca="true">IF(AND($B161&lt;&gt;"",$K161&lt;&gt;"Hoàn thành",$K161&lt;&gt;"Không áp dụng",$J161&lt;&gt;""),IF($J161&lt;TODAY(),1,0),0)</f>
        <v>0</v>
      </c>
      <c r="P161" s="26" t="n">
        <f aca="false">IF(AND($B161&lt;&gt;"",$C161&lt;&gt;"",N($C161)&gt;1),COUNTIFS(Task!$A$5:$A$404,$A161,Task!$C$5:$C$404,N($C161)-1,Task!$K$5:$K$404,"&lt;&gt;Hoàn thành",Task!$K$5:$K$404,"&lt;&gt;Không áp dụng"),0)</f>
        <v>0</v>
      </c>
    </row>
    <row r="162" customFormat="false" ht="15" hidden="false" customHeight="false" outlineLevel="0" collapsed="false">
      <c r="A162" s="19"/>
      <c r="B162" s="22"/>
      <c r="C162" s="14" t="str">
        <f aca="false">IF($B162="","",IFERROR(INDEX('Mẫu task'!$B$5:$B$64,MATCH($B162,'Mẫu task'!$A$5:$A$64,0)),""))</f>
        <v/>
      </c>
      <c r="D162" s="15" t="str">
        <f aca="false">IF($C162="","",IFERROR(INDEX('Quy trình'!$B$5:$B$12,MATCH($C162,'Quy trình'!$A$5:$A$12,0)),""))</f>
        <v/>
      </c>
      <c r="E162" s="23" t="str">
        <f aca="false">IF($B162="","",IFERROR(INDEX('Mẫu task'!$D$5:$D$64,MATCH($B162,'Mẫu task'!$A$5:$A$64,0)),""))</f>
        <v/>
      </c>
      <c r="F162" s="23" t="str">
        <f aca="false">IF($B162="","",IFERROR(INDEX('Mẫu task'!$E$5:$E$64,MATCH($B162,'Mẫu task'!$A$5:$A$64,0)),""))</f>
        <v/>
      </c>
      <c r="G162" s="19"/>
      <c r="H162" s="20"/>
      <c r="I162" s="14" t="str">
        <f aca="false">IF($B162="","",IFERROR(INDEX('Mẫu task'!$H$5:$H$64,MATCH($B162,'Mẫu task'!$A$5:$A$64,0)),""))</f>
        <v/>
      </c>
      <c r="J162" s="24" t="str">
        <f aca="false">IF(OR($H162="",$I162=""),"",$H162+$I162)</f>
        <v/>
      </c>
      <c r="K162" s="22"/>
      <c r="L162" s="20"/>
      <c r="M162" s="14" t="str">
        <f aca="true">IF($B162="","",IF($K162="Hoàn thành","Xong",IF($K162="Không áp dụng","—",IF($K162="Bị chặn","Bị chặn",IF($O162=1,"TRỄ "&amp;(TODAY()-$J162)&amp;" ngày",IF(AND($K162="Đang làm",$P162&gt;0),"Bước trước chưa xong",IF(AND($J162&lt;&gt;"",N($J162)-TODAY()&lt;=3),"Sắp đến hạn",IF($K162="Đang làm","Đang làm","Chưa bắt đầu"))))))))</f>
        <v/>
      </c>
      <c r="N162" s="25"/>
      <c r="O162" s="26" t="n">
        <f aca="true">IF(AND($B162&lt;&gt;"",$K162&lt;&gt;"Hoàn thành",$K162&lt;&gt;"Không áp dụng",$J162&lt;&gt;""),IF($J162&lt;TODAY(),1,0),0)</f>
        <v>0</v>
      </c>
      <c r="P162" s="26" t="n">
        <f aca="false">IF(AND($B162&lt;&gt;"",$C162&lt;&gt;"",N($C162)&gt;1),COUNTIFS(Task!$A$5:$A$404,$A162,Task!$C$5:$C$404,N($C162)-1,Task!$K$5:$K$404,"&lt;&gt;Hoàn thành",Task!$K$5:$K$404,"&lt;&gt;Không áp dụng"),0)</f>
        <v>0</v>
      </c>
    </row>
    <row r="163" customFormat="false" ht="15" hidden="false" customHeight="false" outlineLevel="0" collapsed="false">
      <c r="A163" s="19"/>
      <c r="B163" s="22"/>
      <c r="C163" s="14" t="str">
        <f aca="false">IF($B163="","",IFERROR(INDEX('Mẫu task'!$B$5:$B$64,MATCH($B163,'Mẫu task'!$A$5:$A$64,0)),""))</f>
        <v/>
      </c>
      <c r="D163" s="15" t="str">
        <f aca="false">IF($C163="","",IFERROR(INDEX('Quy trình'!$B$5:$B$12,MATCH($C163,'Quy trình'!$A$5:$A$12,0)),""))</f>
        <v/>
      </c>
      <c r="E163" s="23" t="str">
        <f aca="false">IF($B163="","",IFERROR(INDEX('Mẫu task'!$D$5:$D$64,MATCH($B163,'Mẫu task'!$A$5:$A$64,0)),""))</f>
        <v/>
      </c>
      <c r="F163" s="23" t="str">
        <f aca="false">IF($B163="","",IFERROR(INDEX('Mẫu task'!$E$5:$E$64,MATCH($B163,'Mẫu task'!$A$5:$A$64,0)),""))</f>
        <v/>
      </c>
      <c r="G163" s="19"/>
      <c r="H163" s="20"/>
      <c r="I163" s="14" t="str">
        <f aca="false">IF($B163="","",IFERROR(INDEX('Mẫu task'!$H$5:$H$64,MATCH($B163,'Mẫu task'!$A$5:$A$64,0)),""))</f>
        <v/>
      </c>
      <c r="J163" s="24" t="str">
        <f aca="false">IF(OR($H163="",$I163=""),"",$H163+$I163)</f>
        <v/>
      </c>
      <c r="K163" s="22"/>
      <c r="L163" s="20"/>
      <c r="M163" s="14" t="str">
        <f aca="true">IF($B163="","",IF($K163="Hoàn thành","Xong",IF($K163="Không áp dụng","—",IF($K163="Bị chặn","Bị chặn",IF($O163=1,"TRỄ "&amp;(TODAY()-$J163)&amp;" ngày",IF(AND($K163="Đang làm",$P163&gt;0),"Bước trước chưa xong",IF(AND($J163&lt;&gt;"",N($J163)-TODAY()&lt;=3),"Sắp đến hạn",IF($K163="Đang làm","Đang làm","Chưa bắt đầu"))))))))</f>
        <v/>
      </c>
      <c r="N163" s="25"/>
      <c r="O163" s="26" t="n">
        <f aca="true">IF(AND($B163&lt;&gt;"",$K163&lt;&gt;"Hoàn thành",$K163&lt;&gt;"Không áp dụng",$J163&lt;&gt;""),IF($J163&lt;TODAY(),1,0),0)</f>
        <v>0</v>
      </c>
      <c r="P163" s="26" t="n">
        <f aca="false">IF(AND($B163&lt;&gt;"",$C163&lt;&gt;"",N($C163)&gt;1),COUNTIFS(Task!$A$5:$A$404,$A163,Task!$C$5:$C$404,N($C163)-1,Task!$K$5:$K$404,"&lt;&gt;Hoàn thành",Task!$K$5:$K$404,"&lt;&gt;Không áp dụng"),0)</f>
        <v>0</v>
      </c>
    </row>
    <row r="164" customFormat="false" ht="15" hidden="false" customHeight="false" outlineLevel="0" collapsed="false">
      <c r="A164" s="19"/>
      <c r="B164" s="22"/>
      <c r="C164" s="14" t="str">
        <f aca="false">IF($B164="","",IFERROR(INDEX('Mẫu task'!$B$5:$B$64,MATCH($B164,'Mẫu task'!$A$5:$A$64,0)),""))</f>
        <v/>
      </c>
      <c r="D164" s="15" t="str">
        <f aca="false">IF($C164="","",IFERROR(INDEX('Quy trình'!$B$5:$B$12,MATCH($C164,'Quy trình'!$A$5:$A$12,0)),""))</f>
        <v/>
      </c>
      <c r="E164" s="23" t="str">
        <f aca="false">IF($B164="","",IFERROR(INDEX('Mẫu task'!$D$5:$D$64,MATCH($B164,'Mẫu task'!$A$5:$A$64,0)),""))</f>
        <v/>
      </c>
      <c r="F164" s="23" t="str">
        <f aca="false">IF($B164="","",IFERROR(INDEX('Mẫu task'!$E$5:$E$64,MATCH($B164,'Mẫu task'!$A$5:$A$64,0)),""))</f>
        <v/>
      </c>
      <c r="G164" s="19"/>
      <c r="H164" s="20"/>
      <c r="I164" s="14" t="str">
        <f aca="false">IF($B164="","",IFERROR(INDEX('Mẫu task'!$H$5:$H$64,MATCH($B164,'Mẫu task'!$A$5:$A$64,0)),""))</f>
        <v/>
      </c>
      <c r="J164" s="24" t="str">
        <f aca="false">IF(OR($H164="",$I164=""),"",$H164+$I164)</f>
        <v/>
      </c>
      <c r="K164" s="22"/>
      <c r="L164" s="20"/>
      <c r="M164" s="14" t="str">
        <f aca="true">IF($B164="","",IF($K164="Hoàn thành","Xong",IF($K164="Không áp dụng","—",IF($K164="Bị chặn","Bị chặn",IF($O164=1,"TRỄ "&amp;(TODAY()-$J164)&amp;" ngày",IF(AND($K164="Đang làm",$P164&gt;0),"Bước trước chưa xong",IF(AND($J164&lt;&gt;"",N($J164)-TODAY()&lt;=3),"Sắp đến hạn",IF($K164="Đang làm","Đang làm","Chưa bắt đầu"))))))))</f>
        <v/>
      </c>
      <c r="N164" s="25"/>
      <c r="O164" s="26" t="n">
        <f aca="true">IF(AND($B164&lt;&gt;"",$K164&lt;&gt;"Hoàn thành",$K164&lt;&gt;"Không áp dụng",$J164&lt;&gt;""),IF($J164&lt;TODAY(),1,0),0)</f>
        <v>0</v>
      </c>
      <c r="P164" s="26" t="n">
        <f aca="false">IF(AND($B164&lt;&gt;"",$C164&lt;&gt;"",N($C164)&gt;1),COUNTIFS(Task!$A$5:$A$404,$A164,Task!$C$5:$C$404,N($C164)-1,Task!$K$5:$K$404,"&lt;&gt;Hoàn thành",Task!$K$5:$K$404,"&lt;&gt;Không áp dụng"),0)</f>
        <v>0</v>
      </c>
    </row>
    <row r="165" customFormat="false" ht="15" hidden="false" customHeight="false" outlineLevel="0" collapsed="false">
      <c r="A165" s="19"/>
      <c r="B165" s="22"/>
      <c r="C165" s="14" t="str">
        <f aca="false">IF($B165="","",IFERROR(INDEX('Mẫu task'!$B$5:$B$64,MATCH($B165,'Mẫu task'!$A$5:$A$64,0)),""))</f>
        <v/>
      </c>
      <c r="D165" s="15" t="str">
        <f aca="false">IF($C165="","",IFERROR(INDEX('Quy trình'!$B$5:$B$12,MATCH($C165,'Quy trình'!$A$5:$A$12,0)),""))</f>
        <v/>
      </c>
      <c r="E165" s="23" t="str">
        <f aca="false">IF($B165="","",IFERROR(INDEX('Mẫu task'!$D$5:$D$64,MATCH($B165,'Mẫu task'!$A$5:$A$64,0)),""))</f>
        <v/>
      </c>
      <c r="F165" s="23" t="str">
        <f aca="false">IF($B165="","",IFERROR(INDEX('Mẫu task'!$E$5:$E$64,MATCH($B165,'Mẫu task'!$A$5:$A$64,0)),""))</f>
        <v/>
      </c>
      <c r="G165" s="19"/>
      <c r="H165" s="20"/>
      <c r="I165" s="14" t="str">
        <f aca="false">IF($B165="","",IFERROR(INDEX('Mẫu task'!$H$5:$H$64,MATCH($B165,'Mẫu task'!$A$5:$A$64,0)),""))</f>
        <v/>
      </c>
      <c r="J165" s="24" t="str">
        <f aca="false">IF(OR($H165="",$I165=""),"",$H165+$I165)</f>
        <v/>
      </c>
      <c r="K165" s="22"/>
      <c r="L165" s="20"/>
      <c r="M165" s="14" t="str">
        <f aca="true">IF($B165="","",IF($K165="Hoàn thành","Xong",IF($K165="Không áp dụng","—",IF($K165="Bị chặn","Bị chặn",IF($O165=1,"TRỄ "&amp;(TODAY()-$J165)&amp;" ngày",IF(AND($K165="Đang làm",$P165&gt;0),"Bước trước chưa xong",IF(AND($J165&lt;&gt;"",N($J165)-TODAY()&lt;=3),"Sắp đến hạn",IF($K165="Đang làm","Đang làm","Chưa bắt đầu"))))))))</f>
        <v/>
      </c>
      <c r="N165" s="25"/>
      <c r="O165" s="26" t="n">
        <f aca="true">IF(AND($B165&lt;&gt;"",$K165&lt;&gt;"Hoàn thành",$K165&lt;&gt;"Không áp dụng",$J165&lt;&gt;""),IF($J165&lt;TODAY(),1,0),0)</f>
        <v>0</v>
      </c>
      <c r="P165" s="26" t="n">
        <f aca="false">IF(AND($B165&lt;&gt;"",$C165&lt;&gt;"",N($C165)&gt;1),COUNTIFS(Task!$A$5:$A$404,$A165,Task!$C$5:$C$404,N($C165)-1,Task!$K$5:$K$404,"&lt;&gt;Hoàn thành",Task!$K$5:$K$404,"&lt;&gt;Không áp dụng"),0)</f>
        <v>0</v>
      </c>
    </row>
    <row r="166" customFormat="false" ht="15" hidden="false" customHeight="false" outlineLevel="0" collapsed="false">
      <c r="A166" s="19"/>
      <c r="B166" s="22"/>
      <c r="C166" s="14" t="str">
        <f aca="false">IF($B166="","",IFERROR(INDEX('Mẫu task'!$B$5:$B$64,MATCH($B166,'Mẫu task'!$A$5:$A$64,0)),""))</f>
        <v/>
      </c>
      <c r="D166" s="15" t="str">
        <f aca="false">IF($C166="","",IFERROR(INDEX('Quy trình'!$B$5:$B$12,MATCH($C166,'Quy trình'!$A$5:$A$12,0)),""))</f>
        <v/>
      </c>
      <c r="E166" s="23" t="str">
        <f aca="false">IF($B166="","",IFERROR(INDEX('Mẫu task'!$D$5:$D$64,MATCH($B166,'Mẫu task'!$A$5:$A$64,0)),""))</f>
        <v/>
      </c>
      <c r="F166" s="23" t="str">
        <f aca="false">IF($B166="","",IFERROR(INDEX('Mẫu task'!$E$5:$E$64,MATCH($B166,'Mẫu task'!$A$5:$A$64,0)),""))</f>
        <v/>
      </c>
      <c r="G166" s="19"/>
      <c r="H166" s="20"/>
      <c r="I166" s="14" t="str">
        <f aca="false">IF($B166="","",IFERROR(INDEX('Mẫu task'!$H$5:$H$64,MATCH($B166,'Mẫu task'!$A$5:$A$64,0)),""))</f>
        <v/>
      </c>
      <c r="J166" s="24" t="str">
        <f aca="false">IF(OR($H166="",$I166=""),"",$H166+$I166)</f>
        <v/>
      </c>
      <c r="K166" s="22"/>
      <c r="L166" s="20"/>
      <c r="M166" s="14" t="str">
        <f aca="true">IF($B166="","",IF($K166="Hoàn thành","Xong",IF($K166="Không áp dụng","—",IF($K166="Bị chặn","Bị chặn",IF($O166=1,"TRỄ "&amp;(TODAY()-$J166)&amp;" ngày",IF(AND($K166="Đang làm",$P166&gt;0),"Bước trước chưa xong",IF(AND($J166&lt;&gt;"",N($J166)-TODAY()&lt;=3),"Sắp đến hạn",IF($K166="Đang làm","Đang làm","Chưa bắt đầu"))))))))</f>
        <v/>
      </c>
      <c r="N166" s="25"/>
      <c r="O166" s="26" t="n">
        <f aca="true">IF(AND($B166&lt;&gt;"",$K166&lt;&gt;"Hoàn thành",$K166&lt;&gt;"Không áp dụng",$J166&lt;&gt;""),IF($J166&lt;TODAY(),1,0),0)</f>
        <v>0</v>
      </c>
      <c r="P166" s="26" t="n">
        <f aca="false">IF(AND($B166&lt;&gt;"",$C166&lt;&gt;"",N($C166)&gt;1),COUNTIFS(Task!$A$5:$A$404,$A166,Task!$C$5:$C$404,N($C166)-1,Task!$K$5:$K$404,"&lt;&gt;Hoàn thành",Task!$K$5:$K$404,"&lt;&gt;Không áp dụng"),0)</f>
        <v>0</v>
      </c>
    </row>
    <row r="167" customFormat="false" ht="15" hidden="false" customHeight="false" outlineLevel="0" collapsed="false">
      <c r="A167" s="19"/>
      <c r="B167" s="22"/>
      <c r="C167" s="14" t="str">
        <f aca="false">IF($B167="","",IFERROR(INDEX('Mẫu task'!$B$5:$B$64,MATCH($B167,'Mẫu task'!$A$5:$A$64,0)),""))</f>
        <v/>
      </c>
      <c r="D167" s="15" t="str">
        <f aca="false">IF($C167="","",IFERROR(INDEX('Quy trình'!$B$5:$B$12,MATCH($C167,'Quy trình'!$A$5:$A$12,0)),""))</f>
        <v/>
      </c>
      <c r="E167" s="23" t="str">
        <f aca="false">IF($B167="","",IFERROR(INDEX('Mẫu task'!$D$5:$D$64,MATCH($B167,'Mẫu task'!$A$5:$A$64,0)),""))</f>
        <v/>
      </c>
      <c r="F167" s="23" t="str">
        <f aca="false">IF($B167="","",IFERROR(INDEX('Mẫu task'!$E$5:$E$64,MATCH($B167,'Mẫu task'!$A$5:$A$64,0)),""))</f>
        <v/>
      </c>
      <c r="G167" s="19"/>
      <c r="H167" s="20"/>
      <c r="I167" s="14" t="str">
        <f aca="false">IF($B167="","",IFERROR(INDEX('Mẫu task'!$H$5:$H$64,MATCH($B167,'Mẫu task'!$A$5:$A$64,0)),""))</f>
        <v/>
      </c>
      <c r="J167" s="24" t="str">
        <f aca="false">IF(OR($H167="",$I167=""),"",$H167+$I167)</f>
        <v/>
      </c>
      <c r="K167" s="22"/>
      <c r="L167" s="20"/>
      <c r="M167" s="14" t="str">
        <f aca="true">IF($B167="","",IF($K167="Hoàn thành","Xong",IF($K167="Không áp dụng","—",IF($K167="Bị chặn","Bị chặn",IF($O167=1,"TRỄ "&amp;(TODAY()-$J167)&amp;" ngày",IF(AND($K167="Đang làm",$P167&gt;0),"Bước trước chưa xong",IF(AND($J167&lt;&gt;"",N($J167)-TODAY()&lt;=3),"Sắp đến hạn",IF($K167="Đang làm","Đang làm","Chưa bắt đầu"))))))))</f>
        <v/>
      </c>
      <c r="N167" s="25"/>
      <c r="O167" s="26" t="n">
        <f aca="true">IF(AND($B167&lt;&gt;"",$K167&lt;&gt;"Hoàn thành",$K167&lt;&gt;"Không áp dụng",$J167&lt;&gt;""),IF($J167&lt;TODAY(),1,0),0)</f>
        <v>0</v>
      </c>
      <c r="P167" s="26" t="n">
        <f aca="false">IF(AND($B167&lt;&gt;"",$C167&lt;&gt;"",N($C167)&gt;1),COUNTIFS(Task!$A$5:$A$404,$A167,Task!$C$5:$C$404,N($C167)-1,Task!$K$5:$K$404,"&lt;&gt;Hoàn thành",Task!$K$5:$K$404,"&lt;&gt;Không áp dụng"),0)</f>
        <v>0</v>
      </c>
    </row>
    <row r="168" customFormat="false" ht="15" hidden="false" customHeight="false" outlineLevel="0" collapsed="false">
      <c r="A168" s="19"/>
      <c r="B168" s="22"/>
      <c r="C168" s="14" t="str">
        <f aca="false">IF($B168="","",IFERROR(INDEX('Mẫu task'!$B$5:$B$64,MATCH($B168,'Mẫu task'!$A$5:$A$64,0)),""))</f>
        <v/>
      </c>
      <c r="D168" s="15" t="str">
        <f aca="false">IF($C168="","",IFERROR(INDEX('Quy trình'!$B$5:$B$12,MATCH($C168,'Quy trình'!$A$5:$A$12,0)),""))</f>
        <v/>
      </c>
      <c r="E168" s="23" t="str">
        <f aca="false">IF($B168="","",IFERROR(INDEX('Mẫu task'!$D$5:$D$64,MATCH($B168,'Mẫu task'!$A$5:$A$64,0)),""))</f>
        <v/>
      </c>
      <c r="F168" s="23" t="str">
        <f aca="false">IF($B168="","",IFERROR(INDEX('Mẫu task'!$E$5:$E$64,MATCH($B168,'Mẫu task'!$A$5:$A$64,0)),""))</f>
        <v/>
      </c>
      <c r="G168" s="19"/>
      <c r="H168" s="20"/>
      <c r="I168" s="14" t="str">
        <f aca="false">IF($B168="","",IFERROR(INDEX('Mẫu task'!$H$5:$H$64,MATCH($B168,'Mẫu task'!$A$5:$A$64,0)),""))</f>
        <v/>
      </c>
      <c r="J168" s="24" t="str">
        <f aca="false">IF(OR($H168="",$I168=""),"",$H168+$I168)</f>
        <v/>
      </c>
      <c r="K168" s="22"/>
      <c r="L168" s="20"/>
      <c r="M168" s="14" t="str">
        <f aca="true">IF($B168="","",IF($K168="Hoàn thành","Xong",IF($K168="Không áp dụng","—",IF($K168="Bị chặn","Bị chặn",IF($O168=1,"TRỄ "&amp;(TODAY()-$J168)&amp;" ngày",IF(AND($K168="Đang làm",$P168&gt;0),"Bước trước chưa xong",IF(AND($J168&lt;&gt;"",N($J168)-TODAY()&lt;=3),"Sắp đến hạn",IF($K168="Đang làm","Đang làm","Chưa bắt đầu"))))))))</f>
        <v/>
      </c>
      <c r="N168" s="25"/>
      <c r="O168" s="26" t="n">
        <f aca="true">IF(AND($B168&lt;&gt;"",$K168&lt;&gt;"Hoàn thành",$K168&lt;&gt;"Không áp dụng",$J168&lt;&gt;""),IF($J168&lt;TODAY(),1,0),0)</f>
        <v>0</v>
      </c>
      <c r="P168" s="26" t="n">
        <f aca="false">IF(AND($B168&lt;&gt;"",$C168&lt;&gt;"",N($C168)&gt;1),COUNTIFS(Task!$A$5:$A$404,$A168,Task!$C$5:$C$404,N($C168)-1,Task!$K$5:$K$404,"&lt;&gt;Hoàn thành",Task!$K$5:$K$404,"&lt;&gt;Không áp dụng"),0)</f>
        <v>0</v>
      </c>
    </row>
    <row r="169" customFormat="false" ht="15" hidden="false" customHeight="false" outlineLevel="0" collapsed="false">
      <c r="A169" s="19"/>
      <c r="B169" s="22"/>
      <c r="C169" s="14" t="str">
        <f aca="false">IF($B169="","",IFERROR(INDEX('Mẫu task'!$B$5:$B$64,MATCH($B169,'Mẫu task'!$A$5:$A$64,0)),""))</f>
        <v/>
      </c>
      <c r="D169" s="15" t="str">
        <f aca="false">IF($C169="","",IFERROR(INDEX('Quy trình'!$B$5:$B$12,MATCH($C169,'Quy trình'!$A$5:$A$12,0)),""))</f>
        <v/>
      </c>
      <c r="E169" s="23" t="str">
        <f aca="false">IF($B169="","",IFERROR(INDEX('Mẫu task'!$D$5:$D$64,MATCH($B169,'Mẫu task'!$A$5:$A$64,0)),""))</f>
        <v/>
      </c>
      <c r="F169" s="23" t="str">
        <f aca="false">IF($B169="","",IFERROR(INDEX('Mẫu task'!$E$5:$E$64,MATCH($B169,'Mẫu task'!$A$5:$A$64,0)),""))</f>
        <v/>
      </c>
      <c r="G169" s="19"/>
      <c r="H169" s="20"/>
      <c r="I169" s="14" t="str">
        <f aca="false">IF($B169="","",IFERROR(INDEX('Mẫu task'!$H$5:$H$64,MATCH($B169,'Mẫu task'!$A$5:$A$64,0)),""))</f>
        <v/>
      </c>
      <c r="J169" s="24" t="str">
        <f aca="false">IF(OR($H169="",$I169=""),"",$H169+$I169)</f>
        <v/>
      </c>
      <c r="K169" s="22"/>
      <c r="L169" s="20"/>
      <c r="M169" s="14" t="str">
        <f aca="true">IF($B169="","",IF($K169="Hoàn thành","Xong",IF($K169="Không áp dụng","—",IF($K169="Bị chặn","Bị chặn",IF($O169=1,"TRỄ "&amp;(TODAY()-$J169)&amp;" ngày",IF(AND($K169="Đang làm",$P169&gt;0),"Bước trước chưa xong",IF(AND($J169&lt;&gt;"",N($J169)-TODAY()&lt;=3),"Sắp đến hạn",IF($K169="Đang làm","Đang làm","Chưa bắt đầu"))))))))</f>
        <v/>
      </c>
      <c r="N169" s="25"/>
      <c r="O169" s="26" t="n">
        <f aca="true">IF(AND($B169&lt;&gt;"",$K169&lt;&gt;"Hoàn thành",$K169&lt;&gt;"Không áp dụng",$J169&lt;&gt;""),IF($J169&lt;TODAY(),1,0),0)</f>
        <v>0</v>
      </c>
      <c r="P169" s="26" t="n">
        <f aca="false">IF(AND($B169&lt;&gt;"",$C169&lt;&gt;"",N($C169)&gt;1),COUNTIFS(Task!$A$5:$A$404,$A169,Task!$C$5:$C$404,N($C169)-1,Task!$K$5:$K$404,"&lt;&gt;Hoàn thành",Task!$K$5:$K$404,"&lt;&gt;Không áp dụng"),0)</f>
        <v>0</v>
      </c>
    </row>
    <row r="170" customFormat="false" ht="15" hidden="false" customHeight="false" outlineLevel="0" collapsed="false">
      <c r="A170" s="19"/>
      <c r="B170" s="22"/>
      <c r="C170" s="14" t="str">
        <f aca="false">IF($B170="","",IFERROR(INDEX('Mẫu task'!$B$5:$B$64,MATCH($B170,'Mẫu task'!$A$5:$A$64,0)),""))</f>
        <v/>
      </c>
      <c r="D170" s="15" t="str">
        <f aca="false">IF($C170="","",IFERROR(INDEX('Quy trình'!$B$5:$B$12,MATCH($C170,'Quy trình'!$A$5:$A$12,0)),""))</f>
        <v/>
      </c>
      <c r="E170" s="23" t="str">
        <f aca="false">IF($B170="","",IFERROR(INDEX('Mẫu task'!$D$5:$D$64,MATCH($B170,'Mẫu task'!$A$5:$A$64,0)),""))</f>
        <v/>
      </c>
      <c r="F170" s="23" t="str">
        <f aca="false">IF($B170="","",IFERROR(INDEX('Mẫu task'!$E$5:$E$64,MATCH($B170,'Mẫu task'!$A$5:$A$64,0)),""))</f>
        <v/>
      </c>
      <c r="G170" s="19"/>
      <c r="H170" s="20"/>
      <c r="I170" s="14" t="str">
        <f aca="false">IF($B170="","",IFERROR(INDEX('Mẫu task'!$H$5:$H$64,MATCH($B170,'Mẫu task'!$A$5:$A$64,0)),""))</f>
        <v/>
      </c>
      <c r="J170" s="24" t="str">
        <f aca="false">IF(OR($H170="",$I170=""),"",$H170+$I170)</f>
        <v/>
      </c>
      <c r="K170" s="22"/>
      <c r="L170" s="20"/>
      <c r="M170" s="14" t="str">
        <f aca="true">IF($B170="","",IF($K170="Hoàn thành","Xong",IF($K170="Không áp dụng","—",IF($K170="Bị chặn","Bị chặn",IF($O170=1,"TRỄ "&amp;(TODAY()-$J170)&amp;" ngày",IF(AND($K170="Đang làm",$P170&gt;0),"Bước trước chưa xong",IF(AND($J170&lt;&gt;"",N($J170)-TODAY()&lt;=3),"Sắp đến hạn",IF($K170="Đang làm","Đang làm","Chưa bắt đầu"))))))))</f>
        <v/>
      </c>
      <c r="N170" s="25"/>
      <c r="O170" s="26" t="n">
        <f aca="true">IF(AND($B170&lt;&gt;"",$K170&lt;&gt;"Hoàn thành",$K170&lt;&gt;"Không áp dụng",$J170&lt;&gt;""),IF($J170&lt;TODAY(),1,0),0)</f>
        <v>0</v>
      </c>
      <c r="P170" s="26" t="n">
        <f aca="false">IF(AND($B170&lt;&gt;"",$C170&lt;&gt;"",N($C170)&gt;1),COUNTIFS(Task!$A$5:$A$404,$A170,Task!$C$5:$C$404,N($C170)-1,Task!$K$5:$K$404,"&lt;&gt;Hoàn thành",Task!$K$5:$K$404,"&lt;&gt;Không áp dụng"),0)</f>
        <v>0</v>
      </c>
    </row>
    <row r="171" customFormat="false" ht="15" hidden="false" customHeight="false" outlineLevel="0" collapsed="false">
      <c r="A171" s="19"/>
      <c r="B171" s="22"/>
      <c r="C171" s="14" t="str">
        <f aca="false">IF($B171="","",IFERROR(INDEX('Mẫu task'!$B$5:$B$64,MATCH($B171,'Mẫu task'!$A$5:$A$64,0)),""))</f>
        <v/>
      </c>
      <c r="D171" s="15" t="str">
        <f aca="false">IF($C171="","",IFERROR(INDEX('Quy trình'!$B$5:$B$12,MATCH($C171,'Quy trình'!$A$5:$A$12,0)),""))</f>
        <v/>
      </c>
      <c r="E171" s="23" t="str">
        <f aca="false">IF($B171="","",IFERROR(INDEX('Mẫu task'!$D$5:$D$64,MATCH($B171,'Mẫu task'!$A$5:$A$64,0)),""))</f>
        <v/>
      </c>
      <c r="F171" s="23" t="str">
        <f aca="false">IF($B171="","",IFERROR(INDEX('Mẫu task'!$E$5:$E$64,MATCH($B171,'Mẫu task'!$A$5:$A$64,0)),""))</f>
        <v/>
      </c>
      <c r="G171" s="19"/>
      <c r="H171" s="20"/>
      <c r="I171" s="14" t="str">
        <f aca="false">IF($B171="","",IFERROR(INDEX('Mẫu task'!$H$5:$H$64,MATCH($B171,'Mẫu task'!$A$5:$A$64,0)),""))</f>
        <v/>
      </c>
      <c r="J171" s="24" t="str">
        <f aca="false">IF(OR($H171="",$I171=""),"",$H171+$I171)</f>
        <v/>
      </c>
      <c r="K171" s="22"/>
      <c r="L171" s="20"/>
      <c r="M171" s="14" t="str">
        <f aca="true">IF($B171="","",IF($K171="Hoàn thành","Xong",IF($K171="Không áp dụng","—",IF($K171="Bị chặn","Bị chặn",IF($O171=1,"TRỄ "&amp;(TODAY()-$J171)&amp;" ngày",IF(AND($K171="Đang làm",$P171&gt;0),"Bước trước chưa xong",IF(AND($J171&lt;&gt;"",N($J171)-TODAY()&lt;=3),"Sắp đến hạn",IF($K171="Đang làm","Đang làm","Chưa bắt đầu"))))))))</f>
        <v/>
      </c>
      <c r="N171" s="25"/>
      <c r="O171" s="26" t="n">
        <f aca="true">IF(AND($B171&lt;&gt;"",$K171&lt;&gt;"Hoàn thành",$K171&lt;&gt;"Không áp dụng",$J171&lt;&gt;""),IF($J171&lt;TODAY(),1,0),0)</f>
        <v>0</v>
      </c>
      <c r="P171" s="26" t="n">
        <f aca="false">IF(AND($B171&lt;&gt;"",$C171&lt;&gt;"",N($C171)&gt;1),COUNTIFS(Task!$A$5:$A$404,$A171,Task!$C$5:$C$404,N($C171)-1,Task!$K$5:$K$404,"&lt;&gt;Hoàn thành",Task!$K$5:$K$404,"&lt;&gt;Không áp dụng"),0)</f>
        <v>0</v>
      </c>
    </row>
    <row r="172" customFormat="false" ht="15" hidden="false" customHeight="false" outlineLevel="0" collapsed="false">
      <c r="A172" s="19"/>
      <c r="B172" s="22"/>
      <c r="C172" s="14" t="str">
        <f aca="false">IF($B172="","",IFERROR(INDEX('Mẫu task'!$B$5:$B$64,MATCH($B172,'Mẫu task'!$A$5:$A$64,0)),""))</f>
        <v/>
      </c>
      <c r="D172" s="15" t="str">
        <f aca="false">IF($C172="","",IFERROR(INDEX('Quy trình'!$B$5:$B$12,MATCH($C172,'Quy trình'!$A$5:$A$12,0)),""))</f>
        <v/>
      </c>
      <c r="E172" s="23" t="str">
        <f aca="false">IF($B172="","",IFERROR(INDEX('Mẫu task'!$D$5:$D$64,MATCH($B172,'Mẫu task'!$A$5:$A$64,0)),""))</f>
        <v/>
      </c>
      <c r="F172" s="23" t="str">
        <f aca="false">IF($B172="","",IFERROR(INDEX('Mẫu task'!$E$5:$E$64,MATCH($B172,'Mẫu task'!$A$5:$A$64,0)),""))</f>
        <v/>
      </c>
      <c r="G172" s="19"/>
      <c r="H172" s="20"/>
      <c r="I172" s="14" t="str">
        <f aca="false">IF($B172="","",IFERROR(INDEX('Mẫu task'!$H$5:$H$64,MATCH($B172,'Mẫu task'!$A$5:$A$64,0)),""))</f>
        <v/>
      </c>
      <c r="J172" s="24" t="str">
        <f aca="false">IF(OR($H172="",$I172=""),"",$H172+$I172)</f>
        <v/>
      </c>
      <c r="K172" s="22"/>
      <c r="L172" s="20"/>
      <c r="M172" s="14" t="str">
        <f aca="true">IF($B172="","",IF($K172="Hoàn thành","Xong",IF($K172="Không áp dụng","—",IF($K172="Bị chặn","Bị chặn",IF($O172=1,"TRỄ "&amp;(TODAY()-$J172)&amp;" ngày",IF(AND($K172="Đang làm",$P172&gt;0),"Bước trước chưa xong",IF(AND($J172&lt;&gt;"",N($J172)-TODAY()&lt;=3),"Sắp đến hạn",IF($K172="Đang làm","Đang làm","Chưa bắt đầu"))))))))</f>
        <v/>
      </c>
      <c r="N172" s="25"/>
      <c r="O172" s="26" t="n">
        <f aca="true">IF(AND($B172&lt;&gt;"",$K172&lt;&gt;"Hoàn thành",$K172&lt;&gt;"Không áp dụng",$J172&lt;&gt;""),IF($J172&lt;TODAY(),1,0),0)</f>
        <v>0</v>
      </c>
      <c r="P172" s="26" t="n">
        <f aca="false">IF(AND($B172&lt;&gt;"",$C172&lt;&gt;"",N($C172)&gt;1),COUNTIFS(Task!$A$5:$A$404,$A172,Task!$C$5:$C$404,N($C172)-1,Task!$K$5:$K$404,"&lt;&gt;Hoàn thành",Task!$K$5:$K$404,"&lt;&gt;Không áp dụng"),0)</f>
        <v>0</v>
      </c>
    </row>
    <row r="173" customFormat="false" ht="15" hidden="false" customHeight="false" outlineLevel="0" collapsed="false">
      <c r="A173" s="19"/>
      <c r="B173" s="22"/>
      <c r="C173" s="14" t="str">
        <f aca="false">IF($B173="","",IFERROR(INDEX('Mẫu task'!$B$5:$B$64,MATCH($B173,'Mẫu task'!$A$5:$A$64,0)),""))</f>
        <v/>
      </c>
      <c r="D173" s="15" t="str">
        <f aca="false">IF($C173="","",IFERROR(INDEX('Quy trình'!$B$5:$B$12,MATCH($C173,'Quy trình'!$A$5:$A$12,0)),""))</f>
        <v/>
      </c>
      <c r="E173" s="23" t="str">
        <f aca="false">IF($B173="","",IFERROR(INDEX('Mẫu task'!$D$5:$D$64,MATCH($B173,'Mẫu task'!$A$5:$A$64,0)),""))</f>
        <v/>
      </c>
      <c r="F173" s="23" t="str">
        <f aca="false">IF($B173="","",IFERROR(INDEX('Mẫu task'!$E$5:$E$64,MATCH($B173,'Mẫu task'!$A$5:$A$64,0)),""))</f>
        <v/>
      </c>
      <c r="G173" s="19"/>
      <c r="H173" s="20"/>
      <c r="I173" s="14" t="str">
        <f aca="false">IF($B173="","",IFERROR(INDEX('Mẫu task'!$H$5:$H$64,MATCH($B173,'Mẫu task'!$A$5:$A$64,0)),""))</f>
        <v/>
      </c>
      <c r="J173" s="24" t="str">
        <f aca="false">IF(OR($H173="",$I173=""),"",$H173+$I173)</f>
        <v/>
      </c>
      <c r="K173" s="22"/>
      <c r="L173" s="20"/>
      <c r="M173" s="14" t="str">
        <f aca="true">IF($B173="","",IF($K173="Hoàn thành","Xong",IF($K173="Không áp dụng","—",IF($K173="Bị chặn","Bị chặn",IF($O173=1,"TRỄ "&amp;(TODAY()-$J173)&amp;" ngày",IF(AND($K173="Đang làm",$P173&gt;0),"Bước trước chưa xong",IF(AND($J173&lt;&gt;"",N($J173)-TODAY()&lt;=3),"Sắp đến hạn",IF($K173="Đang làm","Đang làm","Chưa bắt đầu"))))))))</f>
        <v/>
      </c>
      <c r="N173" s="25"/>
      <c r="O173" s="26" t="n">
        <f aca="true">IF(AND($B173&lt;&gt;"",$K173&lt;&gt;"Hoàn thành",$K173&lt;&gt;"Không áp dụng",$J173&lt;&gt;""),IF($J173&lt;TODAY(),1,0),0)</f>
        <v>0</v>
      </c>
      <c r="P173" s="26" t="n">
        <f aca="false">IF(AND($B173&lt;&gt;"",$C173&lt;&gt;"",N($C173)&gt;1),COUNTIFS(Task!$A$5:$A$404,$A173,Task!$C$5:$C$404,N($C173)-1,Task!$K$5:$K$404,"&lt;&gt;Hoàn thành",Task!$K$5:$K$404,"&lt;&gt;Không áp dụng"),0)</f>
        <v>0</v>
      </c>
    </row>
    <row r="174" customFormat="false" ht="15" hidden="false" customHeight="false" outlineLevel="0" collapsed="false">
      <c r="A174" s="19"/>
      <c r="B174" s="22"/>
      <c r="C174" s="14" t="str">
        <f aca="false">IF($B174="","",IFERROR(INDEX('Mẫu task'!$B$5:$B$64,MATCH($B174,'Mẫu task'!$A$5:$A$64,0)),""))</f>
        <v/>
      </c>
      <c r="D174" s="15" t="str">
        <f aca="false">IF($C174="","",IFERROR(INDEX('Quy trình'!$B$5:$B$12,MATCH($C174,'Quy trình'!$A$5:$A$12,0)),""))</f>
        <v/>
      </c>
      <c r="E174" s="23" t="str">
        <f aca="false">IF($B174="","",IFERROR(INDEX('Mẫu task'!$D$5:$D$64,MATCH($B174,'Mẫu task'!$A$5:$A$64,0)),""))</f>
        <v/>
      </c>
      <c r="F174" s="23" t="str">
        <f aca="false">IF($B174="","",IFERROR(INDEX('Mẫu task'!$E$5:$E$64,MATCH($B174,'Mẫu task'!$A$5:$A$64,0)),""))</f>
        <v/>
      </c>
      <c r="G174" s="19"/>
      <c r="H174" s="20"/>
      <c r="I174" s="14" t="str">
        <f aca="false">IF($B174="","",IFERROR(INDEX('Mẫu task'!$H$5:$H$64,MATCH($B174,'Mẫu task'!$A$5:$A$64,0)),""))</f>
        <v/>
      </c>
      <c r="J174" s="24" t="str">
        <f aca="false">IF(OR($H174="",$I174=""),"",$H174+$I174)</f>
        <v/>
      </c>
      <c r="K174" s="22"/>
      <c r="L174" s="20"/>
      <c r="M174" s="14" t="str">
        <f aca="true">IF($B174="","",IF($K174="Hoàn thành","Xong",IF($K174="Không áp dụng","—",IF($K174="Bị chặn","Bị chặn",IF($O174=1,"TRỄ "&amp;(TODAY()-$J174)&amp;" ngày",IF(AND($K174="Đang làm",$P174&gt;0),"Bước trước chưa xong",IF(AND($J174&lt;&gt;"",N($J174)-TODAY()&lt;=3),"Sắp đến hạn",IF($K174="Đang làm","Đang làm","Chưa bắt đầu"))))))))</f>
        <v/>
      </c>
      <c r="N174" s="25"/>
      <c r="O174" s="26" t="n">
        <f aca="true">IF(AND($B174&lt;&gt;"",$K174&lt;&gt;"Hoàn thành",$K174&lt;&gt;"Không áp dụng",$J174&lt;&gt;""),IF($J174&lt;TODAY(),1,0),0)</f>
        <v>0</v>
      </c>
      <c r="P174" s="26" t="n">
        <f aca="false">IF(AND($B174&lt;&gt;"",$C174&lt;&gt;"",N($C174)&gt;1),COUNTIFS(Task!$A$5:$A$404,$A174,Task!$C$5:$C$404,N($C174)-1,Task!$K$5:$K$404,"&lt;&gt;Hoàn thành",Task!$K$5:$K$404,"&lt;&gt;Không áp dụng"),0)</f>
        <v>0</v>
      </c>
    </row>
    <row r="175" customFormat="false" ht="15" hidden="false" customHeight="false" outlineLevel="0" collapsed="false">
      <c r="A175" s="19"/>
      <c r="B175" s="22"/>
      <c r="C175" s="14" t="str">
        <f aca="false">IF($B175="","",IFERROR(INDEX('Mẫu task'!$B$5:$B$64,MATCH($B175,'Mẫu task'!$A$5:$A$64,0)),""))</f>
        <v/>
      </c>
      <c r="D175" s="15" t="str">
        <f aca="false">IF($C175="","",IFERROR(INDEX('Quy trình'!$B$5:$B$12,MATCH($C175,'Quy trình'!$A$5:$A$12,0)),""))</f>
        <v/>
      </c>
      <c r="E175" s="23" t="str">
        <f aca="false">IF($B175="","",IFERROR(INDEX('Mẫu task'!$D$5:$D$64,MATCH($B175,'Mẫu task'!$A$5:$A$64,0)),""))</f>
        <v/>
      </c>
      <c r="F175" s="23" t="str">
        <f aca="false">IF($B175="","",IFERROR(INDEX('Mẫu task'!$E$5:$E$64,MATCH($B175,'Mẫu task'!$A$5:$A$64,0)),""))</f>
        <v/>
      </c>
      <c r="G175" s="19"/>
      <c r="H175" s="20"/>
      <c r="I175" s="14" t="str">
        <f aca="false">IF($B175="","",IFERROR(INDEX('Mẫu task'!$H$5:$H$64,MATCH($B175,'Mẫu task'!$A$5:$A$64,0)),""))</f>
        <v/>
      </c>
      <c r="J175" s="24" t="str">
        <f aca="false">IF(OR($H175="",$I175=""),"",$H175+$I175)</f>
        <v/>
      </c>
      <c r="K175" s="22"/>
      <c r="L175" s="20"/>
      <c r="M175" s="14" t="str">
        <f aca="true">IF($B175="","",IF($K175="Hoàn thành","Xong",IF($K175="Không áp dụng","—",IF($K175="Bị chặn","Bị chặn",IF($O175=1,"TRỄ "&amp;(TODAY()-$J175)&amp;" ngày",IF(AND($K175="Đang làm",$P175&gt;0),"Bước trước chưa xong",IF(AND($J175&lt;&gt;"",N($J175)-TODAY()&lt;=3),"Sắp đến hạn",IF($K175="Đang làm","Đang làm","Chưa bắt đầu"))))))))</f>
        <v/>
      </c>
      <c r="N175" s="25"/>
      <c r="O175" s="26" t="n">
        <f aca="true">IF(AND($B175&lt;&gt;"",$K175&lt;&gt;"Hoàn thành",$K175&lt;&gt;"Không áp dụng",$J175&lt;&gt;""),IF($J175&lt;TODAY(),1,0),0)</f>
        <v>0</v>
      </c>
      <c r="P175" s="26" t="n">
        <f aca="false">IF(AND($B175&lt;&gt;"",$C175&lt;&gt;"",N($C175)&gt;1),COUNTIFS(Task!$A$5:$A$404,$A175,Task!$C$5:$C$404,N($C175)-1,Task!$K$5:$K$404,"&lt;&gt;Hoàn thành",Task!$K$5:$K$404,"&lt;&gt;Không áp dụng"),0)</f>
        <v>0</v>
      </c>
    </row>
    <row r="176" customFormat="false" ht="15" hidden="false" customHeight="false" outlineLevel="0" collapsed="false">
      <c r="A176" s="19"/>
      <c r="B176" s="22"/>
      <c r="C176" s="14" t="str">
        <f aca="false">IF($B176="","",IFERROR(INDEX('Mẫu task'!$B$5:$B$64,MATCH($B176,'Mẫu task'!$A$5:$A$64,0)),""))</f>
        <v/>
      </c>
      <c r="D176" s="15" t="str">
        <f aca="false">IF($C176="","",IFERROR(INDEX('Quy trình'!$B$5:$B$12,MATCH($C176,'Quy trình'!$A$5:$A$12,0)),""))</f>
        <v/>
      </c>
      <c r="E176" s="23" t="str">
        <f aca="false">IF($B176="","",IFERROR(INDEX('Mẫu task'!$D$5:$D$64,MATCH($B176,'Mẫu task'!$A$5:$A$64,0)),""))</f>
        <v/>
      </c>
      <c r="F176" s="23" t="str">
        <f aca="false">IF($B176="","",IFERROR(INDEX('Mẫu task'!$E$5:$E$64,MATCH($B176,'Mẫu task'!$A$5:$A$64,0)),""))</f>
        <v/>
      </c>
      <c r="G176" s="19"/>
      <c r="H176" s="20"/>
      <c r="I176" s="14" t="str">
        <f aca="false">IF($B176="","",IFERROR(INDEX('Mẫu task'!$H$5:$H$64,MATCH($B176,'Mẫu task'!$A$5:$A$64,0)),""))</f>
        <v/>
      </c>
      <c r="J176" s="24" t="str">
        <f aca="false">IF(OR($H176="",$I176=""),"",$H176+$I176)</f>
        <v/>
      </c>
      <c r="K176" s="22"/>
      <c r="L176" s="20"/>
      <c r="M176" s="14" t="str">
        <f aca="true">IF($B176="","",IF($K176="Hoàn thành","Xong",IF($K176="Không áp dụng","—",IF($K176="Bị chặn","Bị chặn",IF($O176=1,"TRỄ "&amp;(TODAY()-$J176)&amp;" ngày",IF(AND($K176="Đang làm",$P176&gt;0),"Bước trước chưa xong",IF(AND($J176&lt;&gt;"",N($J176)-TODAY()&lt;=3),"Sắp đến hạn",IF($K176="Đang làm","Đang làm","Chưa bắt đầu"))))))))</f>
        <v/>
      </c>
      <c r="N176" s="25"/>
      <c r="O176" s="26" t="n">
        <f aca="true">IF(AND($B176&lt;&gt;"",$K176&lt;&gt;"Hoàn thành",$K176&lt;&gt;"Không áp dụng",$J176&lt;&gt;""),IF($J176&lt;TODAY(),1,0),0)</f>
        <v>0</v>
      </c>
      <c r="P176" s="26" t="n">
        <f aca="false">IF(AND($B176&lt;&gt;"",$C176&lt;&gt;"",N($C176)&gt;1),COUNTIFS(Task!$A$5:$A$404,$A176,Task!$C$5:$C$404,N($C176)-1,Task!$K$5:$K$404,"&lt;&gt;Hoàn thành",Task!$K$5:$K$404,"&lt;&gt;Không áp dụng"),0)</f>
        <v>0</v>
      </c>
    </row>
    <row r="177" customFormat="false" ht="15" hidden="false" customHeight="false" outlineLevel="0" collapsed="false">
      <c r="A177" s="19"/>
      <c r="B177" s="22"/>
      <c r="C177" s="14" t="str">
        <f aca="false">IF($B177="","",IFERROR(INDEX('Mẫu task'!$B$5:$B$64,MATCH($B177,'Mẫu task'!$A$5:$A$64,0)),""))</f>
        <v/>
      </c>
      <c r="D177" s="15" t="str">
        <f aca="false">IF($C177="","",IFERROR(INDEX('Quy trình'!$B$5:$B$12,MATCH($C177,'Quy trình'!$A$5:$A$12,0)),""))</f>
        <v/>
      </c>
      <c r="E177" s="23" t="str">
        <f aca="false">IF($B177="","",IFERROR(INDEX('Mẫu task'!$D$5:$D$64,MATCH($B177,'Mẫu task'!$A$5:$A$64,0)),""))</f>
        <v/>
      </c>
      <c r="F177" s="23" t="str">
        <f aca="false">IF($B177="","",IFERROR(INDEX('Mẫu task'!$E$5:$E$64,MATCH($B177,'Mẫu task'!$A$5:$A$64,0)),""))</f>
        <v/>
      </c>
      <c r="G177" s="19"/>
      <c r="H177" s="20"/>
      <c r="I177" s="14" t="str">
        <f aca="false">IF($B177="","",IFERROR(INDEX('Mẫu task'!$H$5:$H$64,MATCH($B177,'Mẫu task'!$A$5:$A$64,0)),""))</f>
        <v/>
      </c>
      <c r="J177" s="24" t="str">
        <f aca="false">IF(OR($H177="",$I177=""),"",$H177+$I177)</f>
        <v/>
      </c>
      <c r="K177" s="22"/>
      <c r="L177" s="20"/>
      <c r="M177" s="14" t="str">
        <f aca="true">IF($B177="","",IF($K177="Hoàn thành","Xong",IF($K177="Không áp dụng","—",IF($K177="Bị chặn","Bị chặn",IF($O177=1,"TRỄ "&amp;(TODAY()-$J177)&amp;" ngày",IF(AND($K177="Đang làm",$P177&gt;0),"Bước trước chưa xong",IF(AND($J177&lt;&gt;"",N($J177)-TODAY()&lt;=3),"Sắp đến hạn",IF($K177="Đang làm","Đang làm","Chưa bắt đầu"))))))))</f>
        <v/>
      </c>
      <c r="N177" s="25"/>
      <c r="O177" s="26" t="n">
        <f aca="true">IF(AND($B177&lt;&gt;"",$K177&lt;&gt;"Hoàn thành",$K177&lt;&gt;"Không áp dụng",$J177&lt;&gt;""),IF($J177&lt;TODAY(),1,0),0)</f>
        <v>0</v>
      </c>
      <c r="P177" s="26" t="n">
        <f aca="false">IF(AND($B177&lt;&gt;"",$C177&lt;&gt;"",N($C177)&gt;1),COUNTIFS(Task!$A$5:$A$404,$A177,Task!$C$5:$C$404,N($C177)-1,Task!$K$5:$K$404,"&lt;&gt;Hoàn thành",Task!$K$5:$K$404,"&lt;&gt;Không áp dụng"),0)</f>
        <v>0</v>
      </c>
    </row>
    <row r="178" customFormat="false" ht="15" hidden="false" customHeight="false" outlineLevel="0" collapsed="false">
      <c r="A178" s="19"/>
      <c r="B178" s="22"/>
      <c r="C178" s="14" t="str">
        <f aca="false">IF($B178="","",IFERROR(INDEX('Mẫu task'!$B$5:$B$64,MATCH($B178,'Mẫu task'!$A$5:$A$64,0)),""))</f>
        <v/>
      </c>
      <c r="D178" s="15" t="str">
        <f aca="false">IF($C178="","",IFERROR(INDEX('Quy trình'!$B$5:$B$12,MATCH($C178,'Quy trình'!$A$5:$A$12,0)),""))</f>
        <v/>
      </c>
      <c r="E178" s="23" t="str">
        <f aca="false">IF($B178="","",IFERROR(INDEX('Mẫu task'!$D$5:$D$64,MATCH($B178,'Mẫu task'!$A$5:$A$64,0)),""))</f>
        <v/>
      </c>
      <c r="F178" s="23" t="str">
        <f aca="false">IF($B178="","",IFERROR(INDEX('Mẫu task'!$E$5:$E$64,MATCH($B178,'Mẫu task'!$A$5:$A$64,0)),""))</f>
        <v/>
      </c>
      <c r="G178" s="19"/>
      <c r="H178" s="20"/>
      <c r="I178" s="14" t="str">
        <f aca="false">IF($B178="","",IFERROR(INDEX('Mẫu task'!$H$5:$H$64,MATCH($B178,'Mẫu task'!$A$5:$A$64,0)),""))</f>
        <v/>
      </c>
      <c r="J178" s="24" t="str">
        <f aca="false">IF(OR($H178="",$I178=""),"",$H178+$I178)</f>
        <v/>
      </c>
      <c r="K178" s="22"/>
      <c r="L178" s="20"/>
      <c r="M178" s="14" t="str">
        <f aca="true">IF($B178="","",IF($K178="Hoàn thành","Xong",IF($K178="Không áp dụng","—",IF($K178="Bị chặn","Bị chặn",IF($O178=1,"TRỄ "&amp;(TODAY()-$J178)&amp;" ngày",IF(AND($K178="Đang làm",$P178&gt;0),"Bước trước chưa xong",IF(AND($J178&lt;&gt;"",N($J178)-TODAY()&lt;=3),"Sắp đến hạn",IF($K178="Đang làm","Đang làm","Chưa bắt đầu"))))))))</f>
        <v/>
      </c>
      <c r="N178" s="25"/>
      <c r="O178" s="26" t="n">
        <f aca="true">IF(AND($B178&lt;&gt;"",$K178&lt;&gt;"Hoàn thành",$K178&lt;&gt;"Không áp dụng",$J178&lt;&gt;""),IF($J178&lt;TODAY(),1,0),0)</f>
        <v>0</v>
      </c>
      <c r="P178" s="26" t="n">
        <f aca="false">IF(AND($B178&lt;&gt;"",$C178&lt;&gt;"",N($C178)&gt;1),COUNTIFS(Task!$A$5:$A$404,$A178,Task!$C$5:$C$404,N($C178)-1,Task!$K$5:$K$404,"&lt;&gt;Hoàn thành",Task!$K$5:$K$404,"&lt;&gt;Không áp dụng"),0)</f>
        <v>0</v>
      </c>
    </row>
    <row r="179" customFormat="false" ht="15" hidden="false" customHeight="false" outlineLevel="0" collapsed="false">
      <c r="A179" s="19"/>
      <c r="B179" s="22"/>
      <c r="C179" s="14" t="str">
        <f aca="false">IF($B179="","",IFERROR(INDEX('Mẫu task'!$B$5:$B$64,MATCH($B179,'Mẫu task'!$A$5:$A$64,0)),""))</f>
        <v/>
      </c>
      <c r="D179" s="15" t="str">
        <f aca="false">IF($C179="","",IFERROR(INDEX('Quy trình'!$B$5:$B$12,MATCH($C179,'Quy trình'!$A$5:$A$12,0)),""))</f>
        <v/>
      </c>
      <c r="E179" s="23" t="str">
        <f aca="false">IF($B179="","",IFERROR(INDEX('Mẫu task'!$D$5:$D$64,MATCH($B179,'Mẫu task'!$A$5:$A$64,0)),""))</f>
        <v/>
      </c>
      <c r="F179" s="23" t="str">
        <f aca="false">IF($B179="","",IFERROR(INDEX('Mẫu task'!$E$5:$E$64,MATCH($B179,'Mẫu task'!$A$5:$A$64,0)),""))</f>
        <v/>
      </c>
      <c r="G179" s="19"/>
      <c r="H179" s="20"/>
      <c r="I179" s="14" t="str">
        <f aca="false">IF($B179="","",IFERROR(INDEX('Mẫu task'!$H$5:$H$64,MATCH($B179,'Mẫu task'!$A$5:$A$64,0)),""))</f>
        <v/>
      </c>
      <c r="J179" s="24" t="str">
        <f aca="false">IF(OR($H179="",$I179=""),"",$H179+$I179)</f>
        <v/>
      </c>
      <c r="K179" s="22"/>
      <c r="L179" s="20"/>
      <c r="M179" s="14" t="str">
        <f aca="true">IF($B179="","",IF($K179="Hoàn thành","Xong",IF($K179="Không áp dụng","—",IF($K179="Bị chặn","Bị chặn",IF($O179=1,"TRỄ "&amp;(TODAY()-$J179)&amp;" ngày",IF(AND($K179="Đang làm",$P179&gt;0),"Bước trước chưa xong",IF(AND($J179&lt;&gt;"",N($J179)-TODAY()&lt;=3),"Sắp đến hạn",IF($K179="Đang làm","Đang làm","Chưa bắt đầu"))))))))</f>
        <v/>
      </c>
      <c r="N179" s="25"/>
      <c r="O179" s="26" t="n">
        <f aca="true">IF(AND($B179&lt;&gt;"",$K179&lt;&gt;"Hoàn thành",$K179&lt;&gt;"Không áp dụng",$J179&lt;&gt;""),IF($J179&lt;TODAY(),1,0),0)</f>
        <v>0</v>
      </c>
      <c r="P179" s="26" t="n">
        <f aca="false">IF(AND($B179&lt;&gt;"",$C179&lt;&gt;"",N($C179)&gt;1),COUNTIFS(Task!$A$5:$A$404,$A179,Task!$C$5:$C$404,N($C179)-1,Task!$K$5:$K$404,"&lt;&gt;Hoàn thành",Task!$K$5:$K$404,"&lt;&gt;Không áp dụng"),0)</f>
        <v>0</v>
      </c>
    </row>
    <row r="180" customFormat="false" ht="15" hidden="false" customHeight="false" outlineLevel="0" collapsed="false">
      <c r="A180" s="19"/>
      <c r="B180" s="22"/>
      <c r="C180" s="14" t="str">
        <f aca="false">IF($B180="","",IFERROR(INDEX('Mẫu task'!$B$5:$B$64,MATCH($B180,'Mẫu task'!$A$5:$A$64,0)),""))</f>
        <v/>
      </c>
      <c r="D180" s="15" t="str">
        <f aca="false">IF($C180="","",IFERROR(INDEX('Quy trình'!$B$5:$B$12,MATCH($C180,'Quy trình'!$A$5:$A$12,0)),""))</f>
        <v/>
      </c>
      <c r="E180" s="23" t="str">
        <f aca="false">IF($B180="","",IFERROR(INDEX('Mẫu task'!$D$5:$D$64,MATCH($B180,'Mẫu task'!$A$5:$A$64,0)),""))</f>
        <v/>
      </c>
      <c r="F180" s="23" t="str">
        <f aca="false">IF($B180="","",IFERROR(INDEX('Mẫu task'!$E$5:$E$64,MATCH($B180,'Mẫu task'!$A$5:$A$64,0)),""))</f>
        <v/>
      </c>
      <c r="G180" s="19"/>
      <c r="H180" s="20"/>
      <c r="I180" s="14" t="str">
        <f aca="false">IF($B180="","",IFERROR(INDEX('Mẫu task'!$H$5:$H$64,MATCH($B180,'Mẫu task'!$A$5:$A$64,0)),""))</f>
        <v/>
      </c>
      <c r="J180" s="24" t="str">
        <f aca="false">IF(OR($H180="",$I180=""),"",$H180+$I180)</f>
        <v/>
      </c>
      <c r="K180" s="22"/>
      <c r="L180" s="20"/>
      <c r="M180" s="14" t="str">
        <f aca="true">IF($B180="","",IF($K180="Hoàn thành","Xong",IF($K180="Không áp dụng","—",IF($K180="Bị chặn","Bị chặn",IF($O180=1,"TRỄ "&amp;(TODAY()-$J180)&amp;" ngày",IF(AND($K180="Đang làm",$P180&gt;0),"Bước trước chưa xong",IF(AND($J180&lt;&gt;"",N($J180)-TODAY()&lt;=3),"Sắp đến hạn",IF($K180="Đang làm","Đang làm","Chưa bắt đầu"))))))))</f>
        <v/>
      </c>
      <c r="N180" s="25"/>
      <c r="O180" s="26" t="n">
        <f aca="true">IF(AND($B180&lt;&gt;"",$K180&lt;&gt;"Hoàn thành",$K180&lt;&gt;"Không áp dụng",$J180&lt;&gt;""),IF($J180&lt;TODAY(),1,0),0)</f>
        <v>0</v>
      </c>
      <c r="P180" s="26" t="n">
        <f aca="false">IF(AND($B180&lt;&gt;"",$C180&lt;&gt;"",N($C180)&gt;1),COUNTIFS(Task!$A$5:$A$404,$A180,Task!$C$5:$C$404,N($C180)-1,Task!$K$5:$K$404,"&lt;&gt;Hoàn thành",Task!$K$5:$K$404,"&lt;&gt;Không áp dụng"),0)</f>
        <v>0</v>
      </c>
    </row>
    <row r="181" customFormat="false" ht="15" hidden="false" customHeight="false" outlineLevel="0" collapsed="false">
      <c r="A181" s="19"/>
      <c r="B181" s="22"/>
      <c r="C181" s="14" t="str">
        <f aca="false">IF($B181="","",IFERROR(INDEX('Mẫu task'!$B$5:$B$64,MATCH($B181,'Mẫu task'!$A$5:$A$64,0)),""))</f>
        <v/>
      </c>
      <c r="D181" s="15" t="str">
        <f aca="false">IF($C181="","",IFERROR(INDEX('Quy trình'!$B$5:$B$12,MATCH($C181,'Quy trình'!$A$5:$A$12,0)),""))</f>
        <v/>
      </c>
      <c r="E181" s="23" t="str">
        <f aca="false">IF($B181="","",IFERROR(INDEX('Mẫu task'!$D$5:$D$64,MATCH($B181,'Mẫu task'!$A$5:$A$64,0)),""))</f>
        <v/>
      </c>
      <c r="F181" s="23" t="str">
        <f aca="false">IF($B181="","",IFERROR(INDEX('Mẫu task'!$E$5:$E$64,MATCH($B181,'Mẫu task'!$A$5:$A$64,0)),""))</f>
        <v/>
      </c>
      <c r="G181" s="19"/>
      <c r="H181" s="20"/>
      <c r="I181" s="14" t="str">
        <f aca="false">IF($B181="","",IFERROR(INDEX('Mẫu task'!$H$5:$H$64,MATCH($B181,'Mẫu task'!$A$5:$A$64,0)),""))</f>
        <v/>
      </c>
      <c r="J181" s="24" t="str">
        <f aca="false">IF(OR($H181="",$I181=""),"",$H181+$I181)</f>
        <v/>
      </c>
      <c r="K181" s="22"/>
      <c r="L181" s="20"/>
      <c r="M181" s="14" t="str">
        <f aca="true">IF($B181="","",IF($K181="Hoàn thành","Xong",IF($K181="Không áp dụng","—",IF($K181="Bị chặn","Bị chặn",IF($O181=1,"TRỄ "&amp;(TODAY()-$J181)&amp;" ngày",IF(AND($K181="Đang làm",$P181&gt;0),"Bước trước chưa xong",IF(AND($J181&lt;&gt;"",N($J181)-TODAY()&lt;=3),"Sắp đến hạn",IF($K181="Đang làm","Đang làm","Chưa bắt đầu"))))))))</f>
        <v/>
      </c>
      <c r="N181" s="25"/>
      <c r="O181" s="26" t="n">
        <f aca="true">IF(AND($B181&lt;&gt;"",$K181&lt;&gt;"Hoàn thành",$K181&lt;&gt;"Không áp dụng",$J181&lt;&gt;""),IF($J181&lt;TODAY(),1,0),0)</f>
        <v>0</v>
      </c>
      <c r="P181" s="26" t="n">
        <f aca="false">IF(AND($B181&lt;&gt;"",$C181&lt;&gt;"",N($C181)&gt;1),COUNTIFS(Task!$A$5:$A$404,$A181,Task!$C$5:$C$404,N($C181)-1,Task!$K$5:$K$404,"&lt;&gt;Hoàn thành",Task!$K$5:$K$404,"&lt;&gt;Không áp dụng"),0)</f>
        <v>0</v>
      </c>
    </row>
    <row r="182" customFormat="false" ht="15" hidden="false" customHeight="false" outlineLevel="0" collapsed="false">
      <c r="A182" s="19"/>
      <c r="B182" s="22"/>
      <c r="C182" s="14" t="str">
        <f aca="false">IF($B182="","",IFERROR(INDEX('Mẫu task'!$B$5:$B$64,MATCH($B182,'Mẫu task'!$A$5:$A$64,0)),""))</f>
        <v/>
      </c>
      <c r="D182" s="15" t="str">
        <f aca="false">IF($C182="","",IFERROR(INDEX('Quy trình'!$B$5:$B$12,MATCH($C182,'Quy trình'!$A$5:$A$12,0)),""))</f>
        <v/>
      </c>
      <c r="E182" s="23" t="str">
        <f aca="false">IF($B182="","",IFERROR(INDEX('Mẫu task'!$D$5:$D$64,MATCH($B182,'Mẫu task'!$A$5:$A$64,0)),""))</f>
        <v/>
      </c>
      <c r="F182" s="23" t="str">
        <f aca="false">IF($B182="","",IFERROR(INDEX('Mẫu task'!$E$5:$E$64,MATCH($B182,'Mẫu task'!$A$5:$A$64,0)),""))</f>
        <v/>
      </c>
      <c r="G182" s="19"/>
      <c r="H182" s="20"/>
      <c r="I182" s="14" t="str">
        <f aca="false">IF($B182="","",IFERROR(INDEX('Mẫu task'!$H$5:$H$64,MATCH($B182,'Mẫu task'!$A$5:$A$64,0)),""))</f>
        <v/>
      </c>
      <c r="J182" s="24" t="str">
        <f aca="false">IF(OR($H182="",$I182=""),"",$H182+$I182)</f>
        <v/>
      </c>
      <c r="K182" s="22"/>
      <c r="L182" s="20"/>
      <c r="M182" s="14" t="str">
        <f aca="true">IF($B182="","",IF($K182="Hoàn thành","Xong",IF($K182="Không áp dụng","—",IF($K182="Bị chặn","Bị chặn",IF($O182=1,"TRỄ "&amp;(TODAY()-$J182)&amp;" ngày",IF(AND($K182="Đang làm",$P182&gt;0),"Bước trước chưa xong",IF(AND($J182&lt;&gt;"",N($J182)-TODAY()&lt;=3),"Sắp đến hạn",IF($K182="Đang làm","Đang làm","Chưa bắt đầu"))))))))</f>
        <v/>
      </c>
      <c r="N182" s="25"/>
      <c r="O182" s="26" t="n">
        <f aca="true">IF(AND($B182&lt;&gt;"",$K182&lt;&gt;"Hoàn thành",$K182&lt;&gt;"Không áp dụng",$J182&lt;&gt;""),IF($J182&lt;TODAY(),1,0),0)</f>
        <v>0</v>
      </c>
      <c r="P182" s="26" t="n">
        <f aca="false">IF(AND($B182&lt;&gt;"",$C182&lt;&gt;"",N($C182)&gt;1),COUNTIFS(Task!$A$5:$A$404,$A182,Task!$C$5:$C$404,N($C182)-1,Task!$K$5:$K$404,"&lt;&gt;Hoàn thành",Task!$K$5:$K$404,"&lt;&gt;Không áp dụng"),0)</f>
        <v>0</v>
      </c>
    </row>
    <row r="183" customFormat="false" ht="15" hidden="false" customHeight="false" outlineLevel="0" collapsed="false">
      <c r="A183" s="19"/>
      <c r="B183" s="22"/>
      <c r="C183" s="14" t="str">
        <f aca="false">IF($B183="","",IFERROR(INDEX('Mẫu task'!$B$5:$B$64,MATCH($B183,'Mẫu task'!$A$5:$A$64,0)),""))</f>
        <v/>
      </c>
      <c r="D183" s="15" t="str">
        <f aca="false">IF($C183="","",IFERROR(INDEX('Quy trình'!$B$5:$B$12,MATCH($C183,'Quy trình'!$A$5:$A$12,0)),""))</f>
        <v/>
      </c>
      <c r="E183" s="23" t="str">
        <f aca="false">IF($B183="","",IFERROR(INDEX('Mẫu task'!$D$5:$D$64,MATCH($B183,'Mẫu task'!$A$5:$A$64,0)),""))</f>
        <v/>
      </c>
      <c r="F183" s="23" t="str">
        <f aca="false">IF($B183="","",IFERROR(INDEX('Mẫu task'!$E$5:$E$64,MATCH($B183,'Mẫu task'!$A$5:$A$64,0)),""))</f>
        <v/>
      </c>
      <c r="G183" s="19"/>
      <c r="H183" s="20"/>
      <c r="I183" s="14" t="str">
        <f aca="false">IF($B183="","",IFERROR(INDEX('Mẫu task'!$H$5:$H$64,MATCH($B183,'Mẫu task'!$A$5:$A$64,0)),""))</f>
        <v/>
      </c>
      <c r="J183" s="24" t="str">
        <f aca="false">IF(OR($H183="",$I183=""),"",$H183+$I183)</f>
        <v/>
      </c>
      <c r="K183" s="22"/>
      <c r="L183" s="20"/>
      <c r="M183" s="14" t="str">
        <f aca="true">IF($B183="","",IF($K183="Hoàn thành","Xong",IF($K183="Không áp dụng","—",IF($K183="Bị chặn","Bị chặn",IF($O183=1,"TRỄ "&amp;(TODAY()-$J183)&amp;" ngày",IF(AND($K183="Đang làm",$P183&gt;0),"Bước trước chưa xong",IF(AND($J183&lt;&gt;"",N($J183)-TODAY()&lt;=3),"Sắp đến hạn",IF($K183="Đang làm","Đang làm","Chưa bắt đầu"))))))))</f>
        <v/>
      </c>
      <c r="N183" s="25"/>
      <c r="O183" s="26" t="n">
        <f aca="true">IF(AND($B183&lt;&gt;"",$K183&lt;&gt;"Hoàn thành",$K183&lt;&gt;"Không áp dụng",$J183&lt;&gt;""),IF($J183&lt;TODAY(),1,0),0)</f>
        <v>0</v>
      </c>
      <c r="P183" s="26" t="n">
        <f aca="false">IF(AND($B183&lt;&gt;"",$C183&lt;&gt;"",N($C183)&gt;1),COUNTIFS(Task!$A$5:$A$404,$A183,Task!$C$5:$C$404,N($C183)-1,Task!$K$5:$K$404,"&lt;&gt;Hoàn thành",Task!$K$5:$K$404,"&lt;&gt;Không áp dụng"),0)</f>
        <v>0</v>
      </c>
    </row>
    <row r="184" customFormat="false" ht="15" hidden="false" customHeight="false" outlineLevel="0" collapsed="false">
      <c r="A184" s="19"/>
      <c r="B184" s="22"/>
      <c r="C184" s="14" t="str">
        <f aca="false">IF($B184="","",IFERROR(INDEX('Mẫu task'!$B$5:$B$64,MATCH($B184,'Mẫu task'!$A$5:$A$64,0)),""))</f>
        <v/>
      </c>
      <c r="D184" s="15" t="str">
        <f aca="false">IF($C184="","",IFERROR(INDEX('Quy trình'!$B$5:$B$12,MATCH($C184,'Quy trình'!$A$5:$A$12,0)),""))</f>
        <v/>
      </c>
      <c r="E184" s="23" t="str">
        <f aca="false">IF($B184="","",IFERROR(INDEX('Mẫu task'!$D$5:$D$64,MATCH($B184,'Mẫu task'!$A$5:$A$64,0)),""))</f>
        <v/>
      </c>
      <c r="F184" s="23" t="str">
        <f aca="false">IF($B184="","",IFERROR(INDEX('Mẫu task'!$E$5:$E$64,MATCH($B184,'Mẫu task'!$A$5:$A$64,0)),""))</f>
        <v/>
      </c>
      <c r="G184" s="19"/>
      <c r="H184" s="20"/>
      <c r="I184" s="14" t="str">
        <f aca="false">IF($B184="","",IFERROR(INDEX('Mẫu task'!$H$5:$H$64,MATCH($B184,'Mẫu task'!$A$5:$A$64,0)),""))</f>
        <v/>
      </c>
      <c r="J184" s="24" t="str">
        <f aca="false">IF(OR($H184="",$I184=""),"",$H184+$I184)</f>
        <v/>
      </c>
      <c r="K184" s="22"/>
      <c r="L184" s="20"/>
      <c r="M184" s="14" t="str">
        <f aca="true">IF($B184="","",IF($K184="Hoàn thành","Xong",IF($K184="Không áp dụng","—",IF($K184="Bị chặn","Bị chặn",IF($O184=1,"TRỄ "&amp;(TODAY()-$J184)&amp;" ngày",IF(AND($K184="Đang làm",$P184&gt;0),"Bước trước chưa xong",IF(AND($J184&lt;&gt;"",N($J184)-TODAY()&lt;=3),"Sắp đến hạn",IF($K184="Đang làm","Đang làm","Chưa bắt đầu"))))))))</f>
        <v/>
      </c>
      <c r="N184" s="25"/>
      <c r="O184" s="26" t="n">
        <f aca="true">IF(AND($B184&lt;&gt;"",$K184&lt;&gt;"Hoàn thành",$K184&lt;&gt;"Không áp dụng",$J184&lt;&gt;""),IF($J184&lt;TODAY(),1,0),0)</f>
        <v>0</v>
      </c>
      <c r="P184" s="26" t="n">
        <f aca="false">IF(AND($B184&lt;&gt;"",$C184&lt;&gt;"",N($C184)&gt;1),COUNTIFS(Task!$A$5:$A$404,$A184,Task!$C$5:$C$404,N($C184)-1,Task!$K$5:$K$404,"&lt;&gt;Hoàn thành",Task!$K$5:$K$404,"&lt;&gt;Không áp dụng"),0)</f>
        <v>0</v>
      </c>
    </row>
    <row r="185" customFormat="false" ht="15" hidden="false" customHeight="false" outlineLevel="0" collapsed="false">
      <c r="A185" s="19"/>
      <c r="B185" s="22"/>
      <c r="C185" s="14" t="str">
        <f aca="false">IF($B185="","",IFERROR(INDEX('Mẫu task'!$B$5:$B$64,MATCH($B185,'Mẫu task'!$A$5:$A$64,0)),""))</f>
        <v/>
      </c>
      <c r="D185" s="15" t="str">
        <f aca="false">IF($C185="","",IFERROR(INDEX('Quy trình'!$B$5:$B$12,MATCH($C185,'Quy trình'!$A$5:$A$12,0)),""))</f>
        <v/>
      </c>
      <c r="E185" s="23" t="str">
        <f aca="false">IF($B185="","",IFERROR(INDEX('Mẫu task'!$D$5:$D$64,MATCH($B185,'Mẫu task'!$A$5:$A$64,0)),""))</f>
        <v/>
      </c>
      <c r="F185" s="23" t="str">
        <f aca="false">IF($B185="","",IFERROR(INDEX('Mẫu task'!$E$5:$E$64,MATCH($B185,'Mẫu task'!$A$5:$A$64,0)),""))</f>
        <v/>
      </c>
      <c r="G185" s="19"/>
      <c r="H185" s="20"/>
      <c r="I185" s="14" t="str">
        <f aca="false">IF($B185="","",IFERROR(INDEX('Mẫu task'!$H$5:$H$64,MATCH($B185,'Mẫu task'!$A$5:$A$64,0)),""))</f>
        <v/>
      </c>
      <c r="J185" s="24" t="str">
        <f aca="false">IF(OR($H185="",$I185=""),"",$H185+$I185)</f>
        <v/>
      </c>
      <c r="K185" s="22"/>
      <c r="L185" s="20"/>
      <c r="M185" s="14" t="str">
        <f aca="true">IF($B185="","",IF($K185="Hoàn thành","Xong",IF($K185="Không áp dụng","—",IF($K185="Bị chặn","Bị chặn",IF($O185=1,"TRỄ "&amp;(TODAY()-$J185)&amp;" ngày",IF(AND($K185="Đang làm",$P185&gt;0),"Bước trước chưa xong",IF(AND($J185&lt;&gt;"",N($J185)-TODAY()&lt;=3),"Sắp đến hạn",IF($K185="Đang làm","Đang làm","Chưa bắt đầu"))))))))</f>
        <v/>
      </c>
      <c r="N185" s="25"/>
      <c r="O185" s="26" t="n">
        <f aca="true">IF(AND($B185&lt;&gt;"",$K185&lt;&gt;"Hoàn thành",$K185&lt;&gt;"Không áp dụng",$J185&lt;&gt;""),IF($J185&lt;TODAY(),1,0),0)</f>
        <v>0</v>
      </c>
      <c r="P185" s="26" t="n">
        <f aca="false">IF(AND($B185&lt;&gt;"",$C185&lt;&gt;"",N($C185)&gt;1),COUNTIFS(Task!$A$5:$A$404,$A185,Task!$C$5:$C$404,N($C185)-1,Task!$K$5:$K$404,"&lt;&gt;Hoàn thành",Task!$K$5:$K$404,"&lt;&gt;Không áp dụng"),0)</f>
        <v>0</v>
      </c>
    </row>
    <row r="186" customFormat="false" ht="15" hidden="false" customHeight="false" outlineLevel="0" collapsed="false">
      <c r="A186" s="19"/>
      <c r="B186" s="22"/>
      <c r="C186" s="14" t="str">
        <f aca="false">IF($B186="","",IFERROR(INDEX('Mẫu task'!$B$5:$B$64,MATCH($B186,'Mẫu task'!$A$5:$A$64,0)),""))</f>
        <v/>
      </c>
      <c r="D186" s="15" t="str">
        <f aca="false">IF($C186="","",IFERROR(INDEX('Quy trình'!$B$5:$B$12,MATCH($C186,'Quy trình'!$A$5:$A$12,0)),""))</f>
        <v/>
      </c>
      <c r="E186" s="23" t="str">
        <f aca="false">IF($B186="","",IFERROR(INDEX('Mẫu task'!$D$5:$D$64,MATCH($B186,'Mẫu task'!$A$5:$A$64,0)),""))</f>
        <v/>
      </c>
      <c r="F186" s="23" t="str">
        <f aca="false">IF($B186="","",IFERROR(INDEX('Mẫu task'!$E$5:$E$64,MATCH($B186,'Mẫu task'!$A$5:$A$64,0)),""))</f>
        <v/>
      </c>
      <c r="G186" s="19"/>
      <c r="H186" s="20"/>
      <c r="I186" s="14" t="str">
        <f aca="false">IF($B186="","",IFERROR(INDEX('Mẫu task'!$H$5:$H$64,MATCH($B186,'Mẫu task'!$A$5:$A$64,0)),""))</f>
        <v/>
      </c>
      <c r="J186" s="24" t="str">
        <f aca="false">IF(OR($H186="",$I186=""),"",$H186+$I186)</f>
        <v/>
      </c>
      <c r="K186" s="22"/>
      <c r="L186" s="20"/>
      <c r="M186" s="14" t="str">
        <f aca="true">IF($B186="","",IF($K186="Hoàn thành","Xong",IF($K186="Không áp dụng","—",IF($K186="Bị chặn","Bị chặn",IF($O186=1,"TRỄ "&amp;(TODAY()-$J186)&amp;" ngày",IF(AND($K186="Đang làm",$P186&gt;0),"Bước trước chưa xong",IF(AND($J186&lt;&gt;"",N($J186)-TODAY()&lt;=3),"Sắp đến hạn",IF($K186="Đang làm","Đang làm","Chưa bắt đầu"))))))))</f>
        <v/>
      </c>
      <c r="N186" s="25"/>
      <c r="O186" s="26" t="n">
        <f aca="true">IF(AND($B186&lt;&gt;"",$K186&lt;&gt;"Hoàn thành",$K186&lt;&gt;"Không áp dụng",$J186&lt;&gt;""),IF($J186&lt;TODAY(),1,0),0)</f>
        <v>0</v>
      </c>
      <c r="P186" s="26" t="n">
        <f aca="false">IF(AND($B186&lt;&gt;"",$C186&lt;&gt;"",N($C186)&gt;1),COUNTIFS(Task!$A$5:$A$404,$A186,Task!$C$5:$C$404,N($C186)-1,Task!$K$5:$K$404,"&lt;&gt;Hoàn thành",Task!$K$5:$K$404,"&lt;&gt;Không áp dụng"),0)</f>
        <v>0</v>
      </c>
    </row>
    <row r="187" customFormat="false" ht="15" hidden="false" customHeight="false" outlineLevel="0" collapsed="false">
      <c r="A187" s="19"/>
      <c r="B187" s="22"/>
      <c r="C187" s="14" t="str">
        <f aca="false">IF($B187="","",IFERROR(INDEX('Mẫu task'!$B$5:$B$64,MATCH($B187,'Mẫu task'!$A$5:$A$64,0)),""))</f>
        <v/>
      </c>
      <c r="D187" s="15" t="str">
        <f aca="false">IF($C187="","",IFERROR(INDEX('Quy trình'!$B$5:$B$12,MATCH($C187,'Quy trình'!$A$5:$A$12,0)),""))</f>
        <v/>
      </c>
      <c r="E187" s="23" t="str">
        <f aca="false">IF($B187="","",IFERROR(INDEX('Mẫu task'!$D$5:$D$64,MATCH($B187,'Mẫu task'!$A$5:$A$64,0)),""))</f>
        <v/>
      </c>
      <c r="F187" s="23" t="str">
        <f aca="false">IF($B187="","",IFERROR(INDEX('Mẫu task'!$E$5:$E$64,MATCH($B187,'Mẫu task'!$A$5:$A$64,0)),""))</f>
        <v/>
      </c>
      <c r="G187" s="19"/>
      <c r="H187" s="20"/>
      <c r="I187" s="14" t="str">
        <f aca="false">IF($B187="","",IFERROR(INDEX('Mẫu task'!$H$5:$H$64,MATCH($B187,'Mẫu task'!$A$5:$A$64,0)),""))</f>
        <v/>
      </c>
      <c r="J187" s="24" t="str">
        <f aca="false">IF(OR($H187="",$I187=""),"",$H187+$I187)</f>
        <v/>
      </c>
      <c r="K187" s="22"/>
      <c r="L187" s="20"/>
      <c r="M187" s="14" t="str">
        <f aca="true">IF($B187="","",IF($K187="Hoàn thành","Xong",IF($K187="Không áp dụng","—",IF($K187="Bị chặn","Bị chặn",IF($O187=1,"TRỄ "&amp;(TODAY()-$J187)&amp;" ngày",IF(AND($K187="Đang làm",$P187&gt;0),"Bước trước chưa xong",IF(AND($J187&lt;&gt;"",N($J187)-TODAY()&lt;=3),"Sắp đến hạn",IF($K187="Đang làm","Đang làm","Chưa bắt đầu"))))))))</f>
        <v/>
      </c>
      <c r="N187" s="25"/>
      <c r="O187" s="26" t="n">
        <f aca="true">IF(AND($B187&lt;&gt;"",$K187&lt;&gt;"Hoàn thành",$K187&lt;&gt;"Không áp dụng",$J187&lt;&gt;""),IF($J187&lt;TODAY(),1,0),0)</f>
        <v>0</v>
      </c>
      <c r="P187" s="26" t="n">
        <f aca="false">IF(AND($B187&lt;&gt;"",$C187&lt;&gt;"",N($C187)&gt;1),COUNTIFS(Task!$A$5:$A$404,$A187,Task!$C$5:$C$404,N($C187)-1,Task!$K$5:$K$404,"&lt;&gt;Hoàn thành",Task!$K$5:$K$404,"&lt;&gt;Không áp dụng"),0)</f>
        <v>0</v>
      </c>
    </row>
    <row r="188" customFormat="false" ht="15" hidden="false" customHeight="false" outlineLevel="0" collapsed="false">
      <c r="A188" s="19"/>
      <c r="B188" s="22"/>
      <c r="C188" s="14" t="str">
        <f aca="false">IF($B188="","",IFERROR(INDEX('Mẫu task'!$B$5:$B$64,MATCH($B188,'Mẫu task'!$A$5:$A$64,0)),""))</f>
        <v/>
      </c>
      <c r="D188" s="15" t="str">
        <f aca="false">IF($C188="","",IFERROR(INDEX('Quy trình'!$B$5:$B$12,MATCH($C188,'Quy trình'!$A$5:$A$12,0)),""))</f>
        <v/>
      </c>
      <c r="E188" s="23" t="str">
        <f aca="false">IF($B188="","",IFERROR(INDEX('Mẫu task'!$D$5:$D$64,MATCH($B188,'Mẫu task'!$A$5:$A$64,0)),""))</f>
        <v/>
      </c>
      <c r="F188" s="23" t="str">
        <f aca="false">IF($B188="","",IFERROR(INDEX('Mẫu task'!$E$5:$E$64,MATCH($B188,'Mẫu task'!$A$5:$A$64,0)),""))</f>
        <v/>
      </c>
      <c r="G188" s="19"/>
      <c r="H188" s="20"/>
      <c r="I188" s="14" t="str">
        <f aca="false">IF($B188="","",IFERROR(INDEX('Mẫu task'!$H$5:$H$64,MATCH($B188,'Mẫu task'!$A$5:$A$64,0)),""))</f>
        <v/>
      </c>
      <c r="J188" s="24" t="str">
        <f aca="false">IF(OR($H188="",$I188=""),"",$H188+$I188)</f>
        <v/>
      </c>
      <c r="K188" s="22"/>
      <c r="L188" s="20"/>
      <c r="M188" s="14" t="str">
        <f aca="true">IF($B188="","",IF($K188="Hoàn thành","Xong",IF($K188="Không áp dụng","—",IF($K188="Bị chặn","Bị chặn",IF($O188=1,"TRỄ "&amp;(TODAY()-$J188)&amp;" ngày",IF(AND($K188="Đang làm",$P188&gt;0),"Bước trước chưa xong",IF(AND($J188&lt;&gt;"",N($J188)-TODAY()&lt;=3),"Sắp đến hạn",IF($K188="Đang làm","Đang làm","Chưa bắt đầu"))))))))</f>
        <v/>
      </c>
      <c r="N188" s="25"/>
      <c r="O188" s="26" t="n">
        <f aca="true">IF(AND($B188&lt;&gt;"",$K188&lt;&gt;"Hoàn thành",$K188&lt;&gt;"Không áp dụng",$J188&lt;&gt;""),IF($J188&lt;TODAY(),1,0),0)</f>
        <v>0</v>
      </c>
      <c r="P188" s="26" t="n">
        <f aca="false">IF(AND($B188&lt;&gt;"",$C188&lt;&gt;"",N($C188)&gt;1),COUNTIFS(Task!$A$5:$A$404,$A188,Task!$C$5:$C$404,N($C188)-1,Task!$K$5:$K$404,"&lt;&gt;Hoàn thành",Task!$K$5:$K$404,"&lt;&gt;Không áp dụng"),0)</f>
        <v>0</v>
      </c>
    </row>
    <row r="189" customFormat="false" ht="15" hidden="false" customHeight="false" outlineLevel="0" collapsed="false">
      <c r="A189" s="19"/>
      <c r="B189" s="22"/>
      <c r="C189" s="14" t="str">
        <f aca="false">IF($B189="","",IFERROR(INDEX('Mẫu task'!$B$5:$B$64,MATCH($B189,'Mẫu task'!$A$5:$A$64,0)),""))</f>
        <v/>
      </c>
      <c r="D189" s="15" t="str">
        <f aca="false">IF($C189="","",IFERROR(INDEX('Quy trình'!$B$5:$B$12,MATCH($C189,'Quy trình'!$A$5:$A$12,0)),""))</f>
        <v/>
      </c>
      <c r="E189" s="23" t="str">
        <f aca="false">IF($B189="","",IFERROR(INDEX('Mẫu task'!$D$5:$D$64,MATCH($B189,'Mẫu task'!$A$5:$A$64,0)),""))</f>
        <v/>
      </c>
      <c r="F189" s="23" t="str">
        <f aca="false">IF($B189="","",IFERROR(INDEX('Mẫu task'!$E$5:$E$64,MATCH($B189,'Mẫu task'!$A$5:$A$64,0)),""))</f>
        <v/>
      </c>
      <c r="G189" s="19"/>
      <c r="H189" s="20"/>
      <c r="I189" s="14" t="str">
        <f aca="false">IF($B189="","",IFERROR(INDEX('Mẫu task'!$H$5:$H$64,MATCH($B189,'Mẫu task'!$A$5:$A$64,0)),""))</f>
        <v/>
      </c>
      <c r="J189" s="24" t="str">
        <f aca="false">IF(OR($H189="",$I189=""),"",$H189+$I189)</f>
        <v/>
      </c>
      <c r="K189" s="22"/>
      <c r="L189" s="20"/>
      <c r="M189" s="14" t="str">
        <f aca="true">IF($B189="","",IF($K189="Hoàn thành","Xong",IF($K189="Không áp dụng","—",IF($K189="Bị chặn","Bị chặn",IF($O189=1,"TRỄ "&amp;(TODAY()-$J189)&amp;" ngày",IF(AND($K189="Đang làm",$P189&gt;0),"Bước trước chưa xong",IF(AND($J189&lt;&gt;"",N($J189)-TODAY()&lt;=3),"Sắp đến hạn",IF($K189="Đang làm","Đang làm","Chưa bắt đầu"))))))))</f>
        <v/>
      </c>
      <c r="N189" s="25"/>
      <c r="O189" s="26" t="n">
        <f aca="true">IF(AND($B189&lt;&gt;"",$K189&lt;&gt;"Hoàn thành",$K189&lt;&gt;"Không áp dụng",$J189&lt;&gt;""),IF($J189&lt;TODAY(),1,0),0)</f>
        <v>0</v>
      </c>
      <c r="P189" s="26" t="n">
        <f aca="false">IF(AND($B189&lt;&gt;"",$C189&lt;&gt;"",N($C189)&gt;1),COUNTIFS(Task!$A$5:$A$404,$A189,Task!$C$5:$C$404,N($C189)-1,Task!$K$5:$K$404,"&lt;&gt;Hoàn thành",Task!$K$5:$K$404,"&lt;&gt;Không áp dụng"),0)</f>
        <v>0</v>
      </c>
    </row>
    <row r="190" customFormat="false" ht="15" hidden="false" customHeight="false" outlineLevel="0" collapsed="false">
      <c r="A190" s="19"/>
      <c r="B190" s="22"/>
      <c r="C190" s="14" t="str">
        <f aca="false">IF($B190="","",IFERROR(INDEX('Mẫu task'!$B$5:$B$64,MATCH($B190,'Mẫu task'!$A$5:$A$64,0)),""))</f>
        <v/>
      </c>
      <c r="D190" s="15" t="str">
        <f aca="false">IF($C190="","",IFERROR(INDEX('Quy trình'!$B$5:$B$12,MATCH($C190,'Quy trình'!$A$5:$A$12,0)),""))</f>
        <v/>
      </c>
      <c r="E190" s="23" t="str">
        <f aca="false">IF($B190="","",IFERROR(INDEX('Mẫu task'!$D$5:$D$64,MATCH($B190,'Mẫu task'!$A$5:$A$64,0)),""))</f>
        <v/>
      </c>
      <c r="F190" s="23" t="str">
        <f aca="false">IF($B190="","",IFERROR(INDEX('Mẫu task'!$E$5:$E$64,MATCH($B190,'Mẫu task'!$A$5:$A$64,0)),""))</f>
        <v/>
      </c>
      <c r="G190" s="19"/>
      <c r="H190" s="20"/>
      <c r="I190" s="14" t="str">
        <f aca="false">IF($B190="","",IFERROR(INDEX('Mẫu task'!$H$5:$H$64,MATCH($B190,'Mẫu task'!$A$5:$A$64,0)),""))</f>
        <v/>
      </c>
      <c r="J190" s="24" t="str">
        <f aca="false">IF(OR($H190="",$I190=""),"",$H190+$I190)</f>
        <v/>
      </c>
      <c r="K190" s="22"/>
      <c r="L190" s="20"/>
      <c r="M190" s="14" t="str">
        <f aca="true">IF($B190="","",IF($K190="Hoàn thành","Xong",IF($K190="Không áp dụng","—",IF($K190="Bị chặn","Bị chặn",IF($O190=1,"TRỄ "&amp;(TODAY()-$J190)&amp;" ngày",IF(AND($K190="Đang làm",$P190&gt;0),"Bước trước chưa xong",IF(AND($J190&lt;&gt;"",N($J190)-TODAY()&lt;=3),"Sắp đến hạn",IF($K190="Đang làm","Đang làm","Chưa bắt đầu"))))))))</f>
        <v/>
      </c>
      <c r="N190" s="25"/>
      <c r="O190" s="26" t="n">
        <f aca="true">IF(AND($B190&lt;&gt;"",$K190&lt;&gt;"Hoàn thành",$K190&lt;&gt;"Không áp dụng",$J190&lt;&gt;""),IF($J190&lt;TODAY(),1,0),0)</f>
        <v>0</v>
      </c>
      <c r="P190" s="26" t="n">
        <f aca="false">IF(AND($B190&lt;&gt;"",$C190&lt;&gt;"",N($C190)&gt;1),COUNTIFS(Task!$A$5:$A$404,$A190,Task!$C$5:$C$404,N($C190)-1,Task!$K$5:$K$404,"&lt;&gt;Hoàn thành",Task!$K$5:$K$404,"&lt;&gt;Không áp dụng"),0)</f>
        <v>0</v>
      </c>
    </row>
    <row r="191" customFormat="false" ht="15" hidden="false" customHeight="false" outlineLevel="0" collapsed="false">
      <c r="A191" s="19"/>
      <c r="B191" s="22"/>
      <c r="C191" s="14" t="str">
        <f aca="false">IF($B191="","",IFERROR(INDEX('Mẫu task'!$B$5:$B$64,MATCH($B191,'Mẫu task'!$A$5:$A$64,0)),""))</f>
        <v/>
      </c>
      <c r="D191" s="15" t="str">
        <f aca="false">IF($C191="","",IFERROR(INDEX('Quy trình'!$B$5:$B$12,MATCH($C191,'Quy trình'!$A$5:$A$12,0)),""))</f>
        <v/>
      </c>
      <c r="E191" s="23" t="str">
        <f aca="false">IF($B191="","",IFERROR(INDEX('Mẫu task'!$D$5:$D$64,MATCH($B191,'Mẫu task'!$A$5:$A$64,0)),""))</f>
        <v/>
      </c>
      <c r="F191" s="23" t="str">
        <f aca="false">IF($B191="","",IFERROR(INDEX('Mẫu task'!$E$5:$E$64,MATCH($B191,'Mẫu task'!$A$5:$A$64,0)),""))</f>
        <v/>
      </c>
      <c r="G191" s="19"/>
      <c r="H191" s="20"/>
      <c r="I191" s="14" t="str">
        <f aca="false">IF($B191="","",IFERROR(INDEX('Mẫu task'!$H$5:$H$64,MATCH($B191,'Mẫu task'!$A$5:$A$64,0)),""))</f>
        <v/>
      </c>
      <c r="J191" s="24" t="str">
        <f aca="false">IF(OR($H191="",$I191=""),"",$H191+$I191)</f>
        <v/>
      </c>
      <c r="K191" s="22"/>
      <c r="L191" s="20"/>
      <c r="M191" s="14" t="str">
        <f aca="true">IF($B191="","",IF($K191="Hoàn thành","Xong",IF($K191="Không áp dụng","—",IF($K191="Bị chặn","Bị chặn",IF($O191=1,"TRỄ "&amp;(TODAY()-$J191)&amp;" ngày",IF(AND($K191="Đang làm",$P191&gt;0),"Bước trước chưa xong",IF(AND($J191&lt;&gt;"",N($J191)-TODAY()&lt;=3),"Sắp đến hạn",IF($K191="Đang làm","Đang làm","Chưa bắt đầu"))))))))</f>
        <v/>
      </c>
      <c r="N191" s="25"/>
      <c r="O191" s="26" t="n">
        <f aca="true">IF(AND($B191&lt;&gt;"",$K191&lt;&gt;"Hoàn thành",$K191&lt;&gt;"Không áp dụng",$J191&lt;&gt;""),IF($J191&lt;TODAY(),1,0),0)</f>
        <v>0</v>
      </c>
      <c r="P191" s="26" t="n">
        <f aca="false">IF(AND($B191&lt;&gt;"",$C191&lt;&gt;"",N($C191)&gt;1),COUNTIFS(Task!$A$5:$A$404,$A191,Task!$C$5:$C$404,N($C191)-1,Task!$K$5:$K$404,"&lt;&gt;Hoàn thành",Task!$K$5:$K$404,"&lt;&gt;Không áp dụng"),0)</f>
        <v>0</v>
      </c>
    </row>
    <row r="192" customFormat="false" ht="15" hidden="false" customHeight="false" outlineLevel="0" collapsed="false">
      <c r="A192" s="19"/>
      <c r="B192" s="22"/>
      <c r="C192" s="14" t="str">
        <f aca="false">IF($B192="","",IFERROR(INDEX('Mẫu task'!$B$5:$B$64,MATCH($B192,'Mẫu task'!$A$5:$A$64,0)),""))</f>
        <v/>
      </c>
      <c r="D192" s="15" t="str">
        <f aca="false">IF($C192="","",IFERROR(INDEX('Quy trình'!$B$5:$B$12,MATCH($C192,'Quy trình'!$A$5:$A$12,0)),""))</f>
        <v/>
      </c>
      <c r="E192" s="23" t="str">
        <f aca="false">IF($B192="","",IFERROR(INDEX('Mẫu task'!$D$5:$D$64,MATCH($B192,'Mẫu task'!$A$5:$A$64,0)),""))</f>
        <v/>
      </c>
      <c r="F192" s="23" t="str">
        <f aca="false">IF($B192="","",IFERROR(INDEX('Mẫu task'!$E$5:$E$64,MATCH($B192,'Mẫu task'!$A$5:$A$64,0)),""))</f>
        <v/>
      </c>
      <c r="G192" s="19"/>
      <c r="H192" s="20"/>
      <c r="I192" s="14" t="str">
        <f aca="false">IF($B192="","",IFERROR(INDEX('Mẫu task'!$H$5:$H$64,MATCH($B192,'Mẫu task'!$A$5:$A$64,0)),""))</f>
        <v/>
      </c>
      <c r="J192" s="24" t="str">
        <f aca="false">IF(OR($H192="",$I192=""),"",$H192+$I192)</f>
        <v/>
      </c>
      <c r="K192" s="22"/>
      <c r="L192" s="20"/>
      <c r="M192" s="14" t="str">
        <f aca="true">IF($B192="","",IF($K192="Hoàn thành","Xong",IF($K192="Không áp dụng","—",IF($K192="Bị chặn","Bị chặn",IF($O192=1,"TRỄ "&amp;(TODAY()-$J192)&amp;" ngày",IF(AND($K192="Đang làm",$P192&gt;0),"Bước trước chưa xong",IF(AND($J192&lt;&gt;"",N($J192)-TODAY()&lt;=3),"Sắp đến hạn",IF($K192="Đang làm","Đang làm","Chưa bắt đầu"))))))))</f>
        <v/>
      </c>
      <c r="N192" s="25"/>
      <c r="O192" s="26" t="n">
        <f aca="true">IF(AND($B192&lt;&gt;"",$K192&lt;&gt;"Hoàn thành",$K192&lt;&gt;"Không áp dụng",$J192&lt;&gt;""),IF($J192&lt;TODAY(),1,0),0)</f>
        <v>0</v>
      </c>
      <c r="P192" s="26" t="n">
        <f aca="false">IF(AND($B192&lt;&gt;"",$C192&lt;&gt;"",N($C192)&gt;1),COUNTIFS(Task!$A$5:$A$404,$A192,Task!$C$5:$C$404,N($C192)-1,Task!$K$5:$K$404,"&lt;&gt;Hoàn thành",Task!$K$5:$K$404,"&lt;&gt;Không áp dụng"),0)</f>
        <v>0</v>
      </c>
    </row>
    <row r="193" customFormat="false" ht="15" hidden="false" customHeight="false" outlineLevel="0" collapsed="false">
      <c r="A193" s="19"/>
      <c r="B193" s="22"/>
      <c r="C193" s="14" t="str">
        <f aca="false">IF($B193="","",IFERROR(INDEX('Mẫu task'!$B$5:$B$64,MATCH($B193,'Mẫu task'!$A$5:$A$64,0)),""))</f>
        <v/>
      </c>
      <c r="D193" s="15" t="str">
        <f aca="false">IF($C193="","",IFERROR(INDEX('Quy trình'!$B$5:$B$12,MATCH($C193,'Quy trình'!$A$5:$A$12,0)),""))</f>
        <v/>
      </c>
      <c r="E193" s="23" t="str">
        <f aca="false">IF($B193="","",IFERROR(INDEX('Mẫu task'!$D$5:$D$64,MATCH($B193,'Mẫu task'!$A$5:$A$64,0)),""))</f>
        <v/>
      </c>
      <c r="F193" s="23" t="str">
        <f aca="false">IF($B193="","",IFERROR(INDEX('Mẫu task'!$E$5:$E$64,MATCH($B193,'Mẫu task'!$A$5:$A$64,0)),""))</f>
        <v/>
      </c>
      <c r="G193" s="19"/>
      <c r="H193" s="20"/>
      <c r="I193" s="14" t="str">
        <f aca="false">IF($B193="","",IFERROR(INDEX('Mẫu task'!$H$5:$H$64,MATCH($B193,'Mẫu task'!$A$5:$A$64,0)),""))</f>
        <v/>
      </c>
      <c r="J193" s="24" t="str">
        <f aca="false">IF(OR($H193="",$I193=""),"",$H193+$I193)</f>
        <v/>
      </c>
      <c r="K193" s="22"/>
      <c r="L193" s="20"/>
      <c r="M193" s="14" t="str">
        <f aca="true">IF($B193="","",IF($K193="Hoàn thành","Xong",IF($K193="Không áp dụng","—",IF($K193="Bị chặn","Bị chặn",IF($O193=1,"TRỄ "&amp;(TODAY()-$J193)&amp;" ngày",IF(AND($K193="Đang làm",$P193&gt;0),"Bước trước chưa xong",IF(AND($J193&lt;&gt;"",N($J193)-TODAY()&lt;=3),"Sắp đến hạn",IF($K193="Đang làm","Đang làm","Chưa bắt đầu"))))))))</f>
        <v/>
      </c>
      <c r="N193" s="25"/>
      <c r="O193" s="26" t="n">
        <f aca="true">IF(AND($B193&lt;&gt;"",$K193&lt;&gt;"Hoàn thành",$K193&lt;&gt;"Không áp dụng",$J193&lt;&gt;""),IF($J193&lt;TODAY(),1,0),0)</f>
        <v>0</v>
      </c>
      <c r="P193" s="26" t="n">
        <f aca="false">IF(AND($B193&lt;&gt;"",$C193&lt;&gt;"",N($C193)&gt;1),COUNTIFS(Task!$A$5:$A$404,$A193,Task!$C$5:$C$404,N($C193)-1,Task!$K$5:$K$404,"&lt;&gt;Hoàn thành",Task!$K$5:$K$404,"&lt;&gt;Không áp dụng"),0)</f>
        <v>0</v>
      </c>
    </row>
    <row r="194" customFormat="false" ht="15" hidden="false" customHeight="false" outlineLevel="0" collapsed="false">
      <c r="A194" s="19"/>
      <c r="B194" s="22"/>
      <c r="C194" s="14" t="str">
        <f aca="false">IF($B194="","",IFERROR(INDEX('Mẫu task'!$B$5:$B$64,MATCH($B194,'Mẫu task'!$A$5:$A$64,0)),""))</f>
        <v/>
      </c>
      <c r="D194" s="15" t="str">
        <f aca="false">IF($C194="","",IFERROR(INDEX('Quy trình'!$B$5:$B$12,MATCH($C194,'Quy trình'!$A$5:$A$12,0)),""))</f>
        <v/>
      </c>
      <c r="E194" s="23" t="str">
        <f aca="false">IF($B194="","",IFERROR(INDEX('Mẫu task'!$D$5:$D$64,MATCH($B194,'Mẫu task'!$A$5:$A$64,0)),""))</f>
        <v/>
      </c>
      <c r="F194" s="23" t="str">
        <f aca="false">IF($B194="","",IFERROR(INDEX('Mẫu task'!$E$5:$E$64,MATCH($B194,'Mẫu task'!$A$5:$A$64,0)),""))</f>
        <v/>
      </c>
      <c r="G194" s="19"/>
      <c r="H194" s="20"/>
      <c r="I194" s="14" t="str">
        <f aca="false">IF($B194="","",IFERROR(INDEX('Mẫu task'!$H$5:$H$64,MATCH($B194,'Mẫu task'!$A$5:$A$64,0)),""))</f>
        <v/>
      </c>
      <c r="J194" s="24" t="str">
        <f aca="false">IF(OR($H194="",$I194=""),"",$H194+$I194)</f>
        <v/>
      </c>
      <c r="K194" s="22"/>
      <c r="L194" s="20"/>
      <c r="M194" s="14" t="str">
        <f aca="true">IF($B194="","",IF($K194="Hoàn thành","Xong",IF($K194="Không áp dụng","—",IF($K194="Bị chặn","Bị chặn",IF($O194=1,"TRỄ "&amp;(TODAY()-$J194)&amp;" ngày",IF(AND($K194="Đang làm",$P194&gt;0),"Bước trước chưa xong",IF(AND($J194&lt;&gt;"",N($J194)-TODAY()&lt;=3),"Sắp đến hạn",IF($K194="Đang làm","Đang làm","Chưa bắt đầu"))))))))</f>
        <v/>
      </c>
      <c r="N194" s="25"/>
      <c r="O194" s="26" t="n">
        <f aca="true">IF(AND($B194&lt;&gt;"",$K194&lt;&gt;"Hoàn thành",$K194&lt;&gt;"Không áp dụng",$J194&lt;&gt;""),IF($J194&lt;TODAY(),1,0),0)</f>
        <v>0</v>
      </c>
      <c r="P194" s="26" t="n">
        <f aca="false">IF(AND($B194&lt;&gt;"",$C194&lt;&gt;"",N($C194)&gt;1),COUNTIFS(Task!$A$5:$A$404,$A194,Task!$C$5:$C$404,N($C194)-1,Task!$K$5:$K$404,"&lt;&gt;Hoàn thành",Task!$K$5:$K$404,"&lt;&gt;Không áp dụng"),0)</f>
        <v>0</v>
      </c>
    </row>
    <row r="195" customFormat="false" ht="15" hidden="false" customHeight="false" outlineLevel="0" collapsed="false">
      <c r="A195" s="19"/>
      <c r="B195" s="22"/>
      <c r="C195" s="14" t="str">
        <f aca="false">IF($B195="","",IFERROR(INDEX('Mẫu task'!$B$5:$B$64,MATCH($B195,'Mẫu task'!$A$5:$A$64,0)),""))</f>
        <v/>
      </c>
      <c r="D195" s="15" t="str">
        <f aca="false">IF($C195="","",IFERROR(INDEX('Quy trình'!$B$5:$B$12,MATCH($C195,'Quy trình'!$A$5:$A$12,0)),""))</f>
        <v/>
      </c>
      <c r="E195" s="23" t="str">
        <f aca="false">IF($B195="","",IFERROR(INDEX('Mẫu task'!$D$5:$D$64,MATCH($B195,'Mẫu task'!$A$5:$A$64,0)),""))</f>
        <v/>
      </c>
      <c r="F195" s="23" t="str">
        <f aca="false">IF($B195="","",IFERROR(INDEX('Mẫu task'!$E$5:$E$64,MATCH($B195,'Mẫu task'!$A$5:$A$64,0)),""))</f>
        <v/>
      </c>
      <c r="G195" s="19"/>
      <c r="H195" s="20"/>
      <c r="I195" s="14" t="str">
        <f aca="false">IF($B195="","",IFERROR(INDEX('Mẫu task'!$H$5:$H$64,MATCH($B195,'Mẫu task'!$A$5:$A$64,0)),""))</f>
        <v/>
      </c>
      <c r="J195" s="24" t="str">
        <f aca="false">IF(OR($H195="",$I195=""),"",$H195+$I195)</f>
        <v/>
      </c>
      <c r="K195" s="22"/>
      <c r="L195" s="20"/>
      <c r="M195" s="14" t="str">
        <f aca="true">IF($B195="","",IF($K195="Hoàn thành","Xong",IF($K195="Không áp dụng","—",IF($K195="Bị chặn","Bị chặn",IF($O195=1,"TRỄ "&amp;(TODAY()-$J195)&amp;" ngày",IF(AND($K195="Đang làm",$P195&gt;0),"Bước trước chưa xong",IF(AND($J195&lt;&gt;"",N($J195)-TODAY()&lt;=3),"Sắp đến hạn",IF($K195="Đang làm","Đang làm","Chưa bắt đầu"))))))))</f>
        <v/>
      </c>
      <c r="N195" s="25"/>
      <c r="O195" s="26" t="n">
        <f aca="true">IF(AND($B195&lt;&gt;"",$K195&lt;&gt;"Hoàn thành",$K195&lt;&gt;"Không áp dụng",$J195&lt;&gt;""),IF($J195&lt;TODAY(),1,0),0)</f>
        <v>0</v>
      </c>
      <c r="P195" s="26" t="n">
        <f aca="false">IF(AND($B195&lt;&gt;"",$C195&lt;&gt;"",N($C195)&gt;1),COUNTIFS(Task!$A$5:$A$404,$A195,Task!$C$5:$C$404,N($C195)-1,Task!$K$5:$K$404,"&lt;&gt;Hoàn thành",Task!$K$5:$K$404,"&lt;&gt;Không áp dụng"),0)</f>
        <v>0</v>
      </c>
    </row>
    <row r="196" customFormat="false" ht="15" hidden="false" customHeight="false" outlineLevel="0" collapsed="false">
      <c r="A196" s="19"/>
      <c r="B196" s="22"/>
      <c r="C196" s="14" t="str">
        <f aca="false">IF($B196="","",IFERROR(INDEX('Mẫu task'!$B$5:$B$64,MATCH($B196,'Mẫu task'!$A$5:$A$64,0)),""))</f>
        <v/>
      </c>
      <c r="D196" s="15" t="str">
        <f aca="false">IF($C196="","",IFERROR(INDEX('Quy trình'!$B$5:$B$12,MATCH($C196,'Quy trình'!$A$5:$A$12,0)),""))</f>
        <v/>
      </c>
      <c r="E196" s="23" t="str">
        <f aca="false">IF($B196="","",IFERROR(INDEX('Mẫu task'!$D$5:$D$64,MATCH($B196,'Mẫu task'!$A$5:$A$64,0)),""))</f>
        <v/>
      </c>
      <c r="F196" s="23" t="str">
        <f aca="false">IF($B196="","",IFERROR(INDEX('Mẫu task'!$E$5:$E$64,MATCH($B196,'Mẫu task'!$A$5:$A$64,0)),""))</f>
        <v/>
      </c>
      <c r="G196" s="19"/>
      <c r="H196" s="20"/>
      <c r="I196" s="14" t="str">
        <f aca="false">IF($B196="","",IFERROR(INDEX('Mẫu task'!$H$5:$H$64,MATCH($B196,'Mẫu task'!$A$5:$A$64,0)),""))</f>
        <v/>
      </c>
      <c r="J196" s="24" t="str">
        <f aca="false">IF(OR($H196="",$I196=""),"",$H196+$I196)</f>
        <v/>
      </c>
      <c r="K196" s="22"/>
      <c r="L196" s="20"/>
      <c r="M196" s="14" t="str">
        <f aca="true">IF($B196="","",IF($K196="Hoàn thành","Xong",IF($K196="Không áp dụng","—",IF($K196="Bị chặn","Bị chặn",IF($O196=1,"TRỄ "&amp;(TODAY()-$J196)&amp;" ngày",IF(AND($K196="Đang làm",$P196&gt;0),"Bước trước chưa xong",IF(AND($J196&lt;&gt;"",N($J196)-TODAY()&lt;=3),"Sắp đến hạn",IF($K196="Đang làm","Đang làm","Chưa bắt đầu"))))))))</f>
        <v/>
      </c>
      <c r="N196" s="25"/>
      <c r="O196" s="26" t="n">
        <f aca="true">IF(AND($B196&lt;&gt;"",$K196&lt;&gt;"Hoàn thành",$K196&lt;&gt;"Không áp dụng",$J196&lt;&gt;""),IF($J196&lt;TODAY(),1,0),0)</f>
        <v>0</v>
      </c>
      <c r="P196" s="26" t="n">
        <f aca="false">IF(AND($B196&lt;&gt;"",$C196&lt;&gt;"",N($C196)&gt;1),COUNTIFS(Task!$A$5:$A$404,$A196,Task!$C$5:$C$404,N($C196)-1,Task!$K$5:$K$404,"&lt;&gt;Hoàn thành",Task!$K$5:$K$404,"&lt;&gt;Không áp dụng"),0)</f>
        <v>0</v>
      </c>
    </row>
    <row r="197" customFormat="false" ht="15" hidden="false" customHeight="false" outlineLevel="0" collapsed="false">
      <c r="A197" s="19"/>
      <c r="B197" s="22"/>
      <c r="C197" s="14" t="str">
        <f aca="false">IF($B197="","",IFERROR(INDEX('Mẫu task'!$B$5:$B$64,MATCH($B197,'Mẫu task'!$A$5:$A$64,0)),""))</f>
        <v/>
      </c>
      <c r="D197" s="15" t="str">
        <f aca="false">IF($C197="","",IFERROR(INDEX('Quy trình'!$B$5:$B$12,MATCH($C197,'Quy trình'!$A$5:$A$12,0)),""))</f>
        <v/>
      </c>
      <c r="E197" s="23" t="str">
        <f aca="false">IF($B197="","",IFERROR(INDEX('Mẫu task'!$D$5:$D$64,MATCH($B197,'Mẫu task'!$A$5:$A$64,0)),""))</f>
        <v/>
      </c>
      <c r="F197" s="23" t="str">
        <f aca="false">IF($B197="","",IFERROR(INDEX('Mẫu task'!$E$5:$E$64,MATCH($B197,'Mẫu task'!$A$5:$A$64,0)),""))</f>
        <v/>
      </c>
      <c r="G197" s="19"/>
      <c r="H197" s="20"/>
      <c r="I197" s="14" t="str">
        <f aca="false">IF($B197="","",IFERROR(INDEX('Mẫu task'!$H$5:$H$64,MATCH($B197,'Mẫu task'!$A$5:$A$64,0)),""))</f>
        <v/>
      </c>
      <c r="J197" s="24" t="str">
        <f aca="false">IF(OR($H197="",$I197=""),"",$H197+$I197)</f>
        <v/>
      </c>
      <c r="K197" s="22"/>
      <c r="L197" s="20"/>
      <c r="M197" s="14" t="str">
        <f aca="true">IF($B197="","",IF($K197="Hoàn thành","Xong",IF($K197="Không áp dụng","—",IF($K197="Bị chặn","Bị chặn",IF($O197=1,"TRỄ "&amp;(TODAY()-$J197)&amp;" ngày",IF(AND($K197="Đang làm",$P197&gt;0),"Bước trước chưa xong",IF(AND($J197&lt;&gt;"",N($J197)-TODAY()&lt;=3),"Sắp đến hạn",IF($K197="Đang làm","Đang làm","Chưa bắt đầu"))))))))</f>
        <v/>
      </c>
      <c r="N197" s="25"/>
      <c r="O197" s="26" t="n">
        <f aca="true">IF(AND($B197&lt;&gt;"",$K197&lt;&gt;"Hoàn thành",$K197&lt;&gt;"Không áp dụng",$J197&lt;&gt;""),IF($J197&lt;TODAY(),1,0),0)</f>
        <v>0</v>
      </c>
      <c r="P197" s="26" t="n">
        <f aca="false">IF(AND($B197&lt;&gt;"",$C197&lt;&gt;"",N($C197)&gt;1),COUNTIFS(Task!$A$5:$A$404,$A197,Task!$C$5:$C$404,N($C197)-1,Task!$K$5:$K$404,"&lt;&gt;Hoàn thành",Task!$K$5:$K$404,"&lt;&gt;Không áp dụng"),0)</f>
        <v>0</v>
      </c>
    </row>
    <row r="198" customFormat="false" ht="15" hidden="false" customHeight="false" outlineLevel="0" collapsed="false">
      <c r="A198" s="19"/>
      <c r="B198" s="22"/>
      <c r="C198" s="14" t="str">
        <f aca="false">IF($B198="","",IFERROR(INDEX('Mẫu task'!$B$5:$B$64,MATCH($B198,'Mẫu task'!$A$5:$A$64,0)),""))</f>
        <v/>
      </c>
      <c r="D198" s="15" t="str">
        <f aca="false">IF($C198="","",IFERROR(INDEX('Quy trình'!$B$5:$B$12,MATCH($C198,'Quy trình'!$A$5:$A$12,0)),""))</f>
        <v/>
      </c>
      <c r="E198" s="23" t="str">
        <f aca="false">IF($B198="","",IFERROR(INDEX('Mẫu task'!$D$5:$D$64,MATCH($B198,'Mẫu task'!$A$5:$A$64,0)),""))</f>
        <v/>
      </c>
      <c r="F198" s="23" t="str">
        <f aca="false">IF($B198="","",IFERROR(INDEX('Mẫu task'!$E$5:$E$64,MATCH($B198,'Mẫu task'!$A$5:$A$64,0)),""))</f>
        <v/>
      </c>
      <c r="G198" s="19"/>
      <c r="H198" s="20"/>
      <c r="I198" s="14" t="str">
        <f aca="false">IF($B198="","",IFERROR(INDEX('Mẫu task'!$H$5:$H$64,MATCH($B198,'Mẫu task'!$A$5:$A$64,0)),""))</f>
        <v/>
      </c>
      <c r="J198" s="24" t="str">
        <f aca="false">IF(OR($H198="",$I198=""),"",$H198+$I198)</f>
        <v/>
      </c>
      <c r="K198" s="22"/>
      <c r="L198" s="20"/>
      <c r="M198" s="14" t="str">
        <f aca="true">IF($B198="","",IF($K198="Hoàn thành","Xong",IF($K198="Không áp dụng","—",IF($K198="Bị chặn","Bị chặn",IF($O198=1,"TRỄ "&amp;(TODAY()-$J198)&amp;" ngày",IF(AND($K198="Đang làm",$P198&gt;0),"Bước trước chưa xong",IF(AND($J198&lt;&gt;"",N($J198)-TODAY()&lt;=3),"Sắp đến hạn",IF($K198="Đang làm","Đang làm","Chưa bắt đầu"))))))))</f>
        <v/>
      </c>
      <c r="N198" s="25"/>
      <c r="O198" s="26" t="n">
        <f aca="true">IF(AND($B198&lt;&gt;"",$K198&lt;&gt;"Hoàn thành",$K198&lt;&gt;"Không áp dụng",$J198&lt;&gt;""),IF($J198&lt;TODAY(),1,0),0)</f>
        <v>0</v>
      </c>
      <c r="P198" s="26" t="n">
        <f aca="false">IF(AND($B198&lt;&gt;"",$C198&lt;&gt;"",N($C198)&gt;1),COUNTIFS(Task!$A$5:$A$404,$A198,Task!$C$5:$C$404,N($C198)-1,Task!$K$5:$K$404,"&lt;&gt;Hoàn thành",Task!$K$5:$K$404,"&lt;&gt;Không áp dụng"),0)</f>
        <v>0</v>
      </c>
    </row>
    <row r="199" customFormat="false" ht="15" hidden="false" customHeight="false" outlineLevel="0" collapsed="false">
      <c r="A199" s="19"/>
      <c r="B199" s="22"/>
      <c r="C199" s="14" t="str">
        <f aca="false">IF($B199="","",IFERROR(INDEX('Mẫu task'!$B$5:$B$64,MATCH($B199,'Mẫu task'!$A$5:$A$64,0)),""))</f>
        <v/>
      </c>
      <c r="D199" s="15" t="str">
        <f aca="false">IF($C199="","",IFERROR(INDEX('Quy trình'!$B$5:$B$12,MATCH($C199,'Quy trình'!$A$5:$A$12,0)),""))</f>
        <v/>
      </c>
      <c r="E199" s="23" t="str">
        <f aca="false">IF($B199="","",IFERROR(INDEX('Mẫu task'!$D$5:$D$64,MATCH($B199,'Mẫu task'!$A$5:$A$64,0)),""))</f>
        <v/>
      </c>
      <c r="F199" s="23" t="str">
        <f aca="false">IF($B199="","",IFERROR(INDEX('Mẫu task'!$E$5:$E$64,MATCH($B199,'Mẫu task'!$A$5:$A$64,0)),""))</f>
        <v/>
      </c>
      <c r="G199" s="19"/>
      <c r="H199" s="20"/>
      <c r="I199" s="14" t="str">
        <f aca="false">IF($B199="","",IFERROR(INDEX('Mẫu task'!$H$5:$H$64,MATCH($B199,'Mẫu task'!$A$5:$A$64,0)),""))</f>
        <v/>
      </c>
      <c r="J199" s="24" t="str">
        <f aca="false">IF(OR($H199="",$I199=""),"",$H199+$I199)</f>
        <v/>
      </c>
      <c r="K199" s="22"/>
      <c r="L199" s="20"/>
      <c r="M199" s="14" t="str">
        <f aca="true">IF($B199="","",IF($K199="Hoàn thành","Xong",IF($K199="Không áp dụng","—",IF($K199="Bị chặn","Bị chặn",IF($O199=1,"TRỄ "&amp;(TODAY()-$J199)&amp;" ngày",IF(AND($K199="Đang làm",$P199&gt;0),"Bước trước chưa xong",IF(AND($J199&lt;&gt;"",N($J199)-TODAY()&lt;=3),"Sắp đến hạn",IF($K199="Đang làm","Đang làm","Chưa bắt đầu"))))))))</f>
        <v/>
      </c>
      <c r="N199" s="25"/>
      <c r="O199" s="26" t="n">
        <f aca="true">IF(AND($B199&lt;&gt;"",$K199&lt;&gt;"Hoàn thành",$K199&lt;&gt;"Không áp dụng",$J199&lt;&gt;""),IF($J199&lt;TODAY(),1,0),0)</f>
        <v>0</v>
      </c>
      <c r="P199" s="26" t="n">
        <f aca="false">IF(AND($B199&lt;&gt;"",$C199&lt;&gt;"",N($C199)&gt;1),COUNTIFS(Task!$A$5:$A$404,$A199,Task!$C$5:$C$404,N($C199)-1,Task!$K$5:$K$404,"&lt;&gt;Hoàn thành",Task!$K$5:$K$404,"&lt;&gt;Không áp dụng"),0)</f>
        <v>0</v>
      </c>
    </row>
    <row r="200" customFormat="false" ht="15" hidden="false" customHeight="false" outlineLevel="0" collapsed="false">
      <c r="A200" s="19"/>
      <c r="B200" s="22"/>
      <c r="C200" s="14" t="str">
        <f aca="false">IF($B200="","",IFERROR(INDEX('Mẫu task'!$B$5:$B$64,MATCH($B200,'Mẫu task'!$A$5:$A$64,0)),""))</f>
        <v/>
      </c>
      <c r="D200" s="15" t="str">
        <f aca="false">IF($C200="","",IFERROR(INDEX('Quy trình'!$B$5:$B$12,MATCH($C200,'Quy trình'!$A$5:$A$12,0)),""))</f>
        <v/>
      </c>
      <c r="E200" s="23" t="str">
        <f aca="false">IF($B200="","",IFERROR(INDEX('Mẫu task'!$D$5:$D$64,MATCH($B200,'Mẫu task'!$A$5:$A$64,0)),""))</f>
        <v/>
      </c>
      <c r="F200" s="23" t="str">
        <f aca="false">IF($B200="","",IFERROR(INDEX('Mẫu task'!$E$5:$E$64,MATCH($B200,'Mẫu task'!$A$5:$A$64,0)),""))</f>
        <v/>
      </c>
      <c r="G200" s="19"/>
      <c r="H200" s="20"/>
      <c r="I200" s="14" t="str">
        <f aca="false">IF($B200="","",IFERROR(INDEX('Mẫu task'!$H$5:$H$64,MATCH($B200,'Mẫu task'!$A$5:$A$64,0)),""))</f>
        <v/>
      </c>
      <c r="J200" s="24" t="str">
        <f aca="false">IF(OR($H200="",$I200=""),"",$H200+$I200)</f>
        <v/>
      </c>
      <c r="K200" s="22"/>
      <c r="L200" s="20"/>
      <c r="M200" s="14" t="str">
        <f aca="true">IF($B200="","",IF($K200="Hoàn thành","Xong",IF($K200="Không áp dụng","—",IF($K200="Bị chặn","Bị chặn",IF($O200=1,"TRỄ "&amp;(TODAY()-$J200)&amp;" ngày",IF(AND($K200="Đang làm",$P200&gt;0),"Bước trước chưa xong",IF(AND($J200&lt;&gt;"",N($J200)-TODAY()&lt;=3),"Sắp đến hạn",IF($K200="Đang làm","Đang làm","Chưa bắt đầu"))))))))</f>
        <v/>
      </c>
      <c r="N200" s="25"/>
      <c r="O200" s="26" t="n">
        <f aca="true">IF(AND($B200&lt;&gt;"",$K200&lt;&gt;"Hoàn thành",$K200&lt;&gt;"Không áp dụng",$J200&lt;&gt;""),IF($J200&lt;TODAY(),1,0),0)</f>
        <v>0</v>
      </c>
      <c r="P200" s="26" t="n">
        <f aca="false">IF(AND($B200&lt;&gt;"",$C200&lt;&gt;"",N($C200)&gt;1),COUNTIFS(Task!$A$5:$A$404,$A200,Task!$C$5:$C$404,N($C200)-1,Task!$K$5:$K$404,"&lt;&gt;Hoàn thành",Task!$K$5:$K$404,"&lt;&gt;Không áp dụng"),0)</f>
        <v>0</v>
      </c>
    </row>
    <row r="201" customFormat="false" ht="15" hidden="false" customHeight="false" outlineLevel="0" collapsed="false">
      <c r="A201" s="19"/>
      <c r="B201" s="22"/>
      <c r="C201" s="14" t="str">
        <f aca="false">IF($B201="","",IFERROR(INDEX('Mẫu task'!$B$5:$B$64,MATCH($B201,'Mẫu task'!$A$5:$A$64,0)),""))</f>
        <v/>
      </c>
      <c r="D201" s="15" t="str">
        <f aca="false">IF($C201="","",IFERROR(INDEX('Quy trình'!$B$5:$B$12,MATCH($C201,'Quy trình'!$A$5:$A$12,0)),""))</f>
        <v/>
      </c>
      <c r="E201" s="23" t="str">
        <f aca="false">IF($B201="","",IFERROR(INDEX('Mẫu task'!$D$5:$D$64,MATCH($B201,'Mẫu task'!$A$5:$A$64,0)),""))</f>
        <v/>
      </c>
      <c r="F201" s="23" t="str">
        <f aca="false">IF($B201="","",IFERROR(INDEX('Mẫu task'!$E$5:$E$64,MATCH($B201,'Mẫu task'!$A$5:$A$64,0)),""))</f>
        <v/>
      </c>
      <c r="G201" s="19"/>
      <c r="H201" s="20"/>
      <c r="I201" s="14" t="str">
        <f aca="false">IF($B201="","",IFERROR(INDEX('Mẫu task'!$H$5:$H$64,MATCH($B201,'Mẫu task'!$A$5:$A$64,0)),""))</f>
        <v/>
      </c>
      <c r="J201" s="24" t="str">
        <f aca="false">IF(OR($H201="",$I201=""),"",$H201+$I201)</f>
        <v/>
      </c>
      <c r="K201" s="22"/>
      <c r="L201" s="20"/>
      <c r="M201" s="14" t="str">
        <f aca="true">IF($B201="","",IF($K201="Hoàn thành","Xong",IF($K201="Không áp dụng","—",IF($K201="Bị chặn","Bị chặn",IF($O201=1,"TRỄ "&amp;(TODAY()-$J201)&amp;" ngày",IF(AND($K201="Đang làm",$P201&gt;0),"Bước trước chưa xong",IF(AND($J201&lt;&gt;"",N($J201)-TODAY()&lt;=3),"Sắp đến hạn",IF($K201="Đang làm","Đang làm","Chưa bắt đầu"))))))))</f>
        <v/>
      </c>
      <c r="N201" s="25"/>
      <c r="O201" s="26" t="n">
        <f aca="true">IF(AND($B201&lt;&gt;"",$K201&lt;&gt;"Hoàn thành",$K201&lt;&gt;"Không áp dụng",$J201&lt;&gt;""),IF($J201&lt;TODAY(),1,0),0)</f>
        <v>0</v>
      </c>
      <c r="P201" s="26" t="n">
        <f aca="false">IF(AND($B201&lt;&gt;"",$C201&lt;&gt;"",N($C201)&gt;1),COUNTIFS(Task!$A$5:$A$404,$A201,Task!$C$5:$C$404,N($C201)-1,Task!$K$5:$K$404,"&lt;&gt;Hoàn thành",Task!$K$5:$K$404,"&lt;&gt;Không áp dụng"),0)</f>
        <v>0</v>
      </c>
    </row>
    <row r="202" customFormat="false" ht="15" hidden="false" customHeight="false" outlineLevel="0" collapsed="false">
      <c r="A202" s="19"/>
      <c r="B202" s="22"/>
      <c r="C202" s="14" t="str">
        <f aca="false">IF($B202="","",IFERROR(INDEX('Mẫu task'!$B$5:$B$64,MATCH($B202,'Mẫu task'!$A$5:$A$64,0)),""))</f>
        <v/>
      </c>
      <c r="D202" s="15" t="str">
        <f aca="false">IF($C202="","",IFERROR(INDEX('Quy trình'!$B$5:$B$12,MATCH($C202,'Quy trình'!$A$5:$A$12,0)),""))</f>
        <v/>
      </c>
      <c r="E202" s="23" t="str">
        <f aca="false">IF($B202="","",IFERROR(INDEX('Mẫu task'!$D$5:$D$64,MATCH($B202,'Mẫu task'!$A$5:$A$64,0)),""))</f>
        <v/>
      </c>
      <c r="F202" s="23" t="str">
        <f aca="false">IF($B202="","",IFERROR(INDEX('Mẫu task'!$E$5:$E$64,MATCH($B202,'Mẫu task'!$A$5:$A$64,0)),""))</f>
        <v/>
      </c>
      <c r="G202" s="19"/>
      <c r="H202" s="20"/>
      <c r="I202" s="14" t="str">
        <f aca="false">IF($B202="","",IFERROR(INDEX('Mẫu task'!$H$5:$H$64,MATCH($B202,'Mẫu task'!$A$5:$A$64,0)),""))</f>
        <v/>
      </c>
      <c r="J202" s="24" t="str">
        <f aca="false">IF(OR($H202="",$I202=""),"",$H202+$I202)</f>
        <v/>
      </c>
      <c r="K202" s="22"/>
      <c r="L202" s="20"/>
      <c r="M202" s="14" t="str">
        <f aca="true">IF($B202="","",IF($K202="Hoàn thành","Xong",IF($K202="Không áp dụng","—",IF($K202="Bị chặn","Bị chặn",IF($O202=1,"TRỄ "&amp;(TODAY()-$J202)&amp;" ngày",IF(AND($K202="Đang làm",$P202&gt;0),"Bước trước chưa xong",IF(AND($J202&lt;&gt;"",N($J202)-TODAY()&lt;=3),"Sắp đến hạn",IF($K202="Đang làm","Đang làm","Chưa bắt đầu"))))))))</f>
        <v/>
      </c>
      <c r="N202" s="25"/>
      <c r="O202" s="26" t="n">
        <f aca="true">IF(AND($B202&lt;&gt;"",$K202&lt;&gt;"Hoàn thành",$K202&lt;&gt;"Không áp dụng",$J202&lt;&gt;""),IF($J202&lt;TODAY(),1,0),0)</f>
        <v>0</v>
      </c>
      <c r="P202" s="26" t="n">
        <f aca="false">IF(AND($B202&lt;&gt;"",$C202&lt;&gt;"",N($C202)&gt;1),COUNTIFS(Task!$A$5:$A$404,$A202,Task!$C$5:$C$404,N($C202)-1,Task!$K$5:$K$404,"&lt;&gt;Hoàn thành",Task!$K$5:$K$404,"&lt;&gt;Không áp dụng"),0)</f>
        <v>0</v>
      </c>
    </row>
    <row r="203" customFormat="false" ht="15" hidden="false" customHeight="false" outlineLevel="0" collapsed="false">
      <c r="A203" s="19"/>
      <c r="B203" s="22"/>
      <c r="C203" s="14" t="str">
        <f aca="false">IF($B203="","",IFERROR(INDEX('Mẫu task'!$B$5:$B$64,MATCH($B203,'Mẫu task'!$A$5:$A$64,0)),""))</f>
        <v/>
      </c>
      <c r="D203" s="15" t="str">
        <f aca="false">IF($C203="","",IFERROR(INDEX('Quy trình'!$B$5:$B$12,MATCH($C203,'Quy trình'!$A$5:$A$12,0)),""))</f>
        <v/>
      </c>
      <c r="E203" s="23" t="str">
        <f aca="false">IF($B203="","",IFERROR(INDEX('Mẫu task'!$D$5:$D$64,MATCH($B203,'Mẫu task'!$A$5:$A$64,0)),""))</f>
        <v/>
      </c>
      <c r="F203" s="23" t="str">
        <f aca="false">IF($B203="","",IFERROR(INDEX('Mẫu task'!$E$5:$E$64,MATCH($B203,'Mẫu task'!$A$5:$A$64,0)),""))</f>
        <v/>
      </c>
      <c r="G203" s="19"/>
      <c r="H203" s="20"/>
      <c r="I203" s="14" t="str">
        <f aca="false">IF($B203="","",IFERROR(INDEX('Mẫu task'!$H$5:$H$64,MATCH($B203,'Mẫu task'!$A$5:$A$64,0)),""))</f>
        <v/>
      </c>
      <c r="J203" s="24" t="str">
        <f aca="false">IF(OR($H203="",$I203=""),"",$H203+$I203)</f>
        <v/>
      </c>
      <c r="K203" s="22"/>
      <c r="L203" s="20"/>
      <c r="M203" s="14" t="str">
        <f aca="true">IF($B203="","",IF($K203="Hoàn thành","Xong",IF($K203="Không áp dụng","—",IF($K203="Bị chặn","Bị chặn",IF($O203=1,"TRỄ "&amp;(TODAY()-$J203)&amp;" ngày",IF(AND($K203="Đang làm",$P203&gt;0),"Bước trước chưa xong",IF(AND($J203&lt;&gt;"",N($J203)-TODAY()&lt;=3),"Sắp đến hạn",IF($K203="Đang làm","Đang làm","Chưa bắt đầu"))))))))</f>
        <v/>
      </c>
      <c r="N203" s="25"/>
      <c r="O203" s="26" t="n">
        <f aca="true">IF(AND($B203&lt;&gt;"",$K203&lt;&gt;"Hoàn thành",$K203&lt;&gt;"Không áp dụng",$J203&lt;&gt;""),IF($J203&lt;TODAY(),1,0),0)</f>
        <v>0</v>
      </c>
      <c r="P203" s="26" t="n">
        <f aca="false">IF(AND($B203&lt;&gt;"",$C203&lt;&gt;"",N($C203)&gt;1),COUNTIFS(Task!$A$5:$A$404,$A203,Task!$C$5:$C$404,N($C203)-1,Task!$K$5:$K$404,"&lt;&gt;Hoàn thành",Task!$K$5:$K$404,"&lt;&gt;Không áp dụng"),0)</f>
        <v>0</v>
      </c>
    </row>
    <row r="204" customFormat="false" ht="15" hidden="false" customHeight="false" outlineLevel="0" collapsed="false">
      <c r="A204" s="19"/>
      <c r="B204" s="22"/>
      <c r="C204" s="14" t="str">
        <f aca="false">IF($B204="","",IFERROR(INDEX('Mẫu task'!$B$5:$B$64,MATCH($B204,'Mẫu task'!$A$5:$A$64,0)),""))</f>
        <v/>
      </c>
      <c r="D204" s="15" t="str">
        <f aca="false">IF($C204="","",IFERROR(INDEX('Quy trình'!$B$5:$B$12,MATCH($C204,'Quy trình'!$A$5:$A$12,0)),""))</f>
        <v/>
      </c>
      <c r="E204" s="23" t="str">
        <f aca="false">IF($B204="","",IFERROR(INDEX('Mẫu task'!$D$5:$D$64,MATCH($B204,'Mẫu task'!$A$5:$A$64,0)),""))</f>
        <v/>
      </c>
      <c r="F204" s="23" t="str">
        <f aca="false">IF($B204="","",IFERROR(INDEX('Mẫu task'!$E$5:$E$64,MATCH($B204,'Mẫu task'!$A$5:$A$64,0)),""))</f>
        <v/>
      </c>
      <c r="G204" s="19"/>
      <c r="H204" s="20"/>
      <c r="I204" s="14" t="str">
        <f aca="false">IF($B204="","",IFERROR(INDEX('Mẫu task'!$H$5:$H$64,MATCH($B204,'Mẫu task'!$A$5:$A$64,0)),""))</f>
        <v/>
      </c>
      <c r="J204" s="24" t="str">
        <f aca="false">IF(OR($H204="",$I204=""),"",$H204+$I204)</f>
        <v/>
      </c>
      <c r="K204" s="22"/>
      <c r="L204" s="20"/>
      <c r="M204" s="14" t="str">
        <f aca="true">IF($B204="","",IF($K204="Hoàn thành","Xong",IF($K204="Không áp dụng","—",IF($K204="Bị chặn","Bị chặn",IF($O204=1,"TRỄ "&amp;(TODAY()-$J204)&amp;" ngày",IF(AND($K204="Đang làm",$P204&gt;0),"Bước trước chưa xong",IF(AND($J204&lt;&gt;"",N($J204)-TODAY()&lt;=3),"Sắp đến hạn",IF($K204="Đang làm","Đang làm","Chưa bắt đầu"))))))))</f>
        <v/>
      </c>
      <c r="N204" s="25"/>
      <c r="O204" s="26" t="n">
        <f aca="true">IF(AND($B204&lt;&gt;"",$K204&lt;&gt;"Hoàn thành",$K204&lt;&gt;"Không áp dụng",$J204&lt;&gt;""),IF($J204&lt;TODAY(),1,0),0)</f>
        <v>0</v>
      </c>
      <c r="P204" s="26" t="n">
        <f aca="false">IF(AND($B204&lt;&gt;"",$C204&lt;&gt;"",N($C204)&gt;1),COUNTIFS(Task!$A$5:$A$404,$A204,Task!$C$5:$C$404,N($C204)-1,Task!$K$5:$K$404,"&lt;&gt;Hoàn thành",Task!$K$5:$K$404,"&lt;&gt;Không áp dụng"),0)</f>
        <v>0</v>
      </c>
    </row>
    <row r="205" customFormat="false" ht="15" hidden="false" customHeight="false" outlineLevel="0" collapsed="false">
      <c r="A205" s="19"/>
      <c r="B205" s="22"/>
      <c r="C205" s="14" t="str">
        <f aca="false">IF($B205="","",IFERROR(INDEX('Mẫu task'!$B$5:$B$64,MATCH($B205,'Mẫu task'!$A$5:$A$64,0)),""))</f>
        <v/>
      </c>
      <c r="D205" s="15" t="str">
        <f aca="false">IF($C205="","",IFERROR(INDEX('Quy trình'!$B$5:$B$12,MATCH($C205,'Quy trình'!$A$5:$A$12,0)),""))</f>
        <v/>
      </c>
      <c r="E205" s="23" t="str">
        <f aca="false">IF($B205="","",IFERROR(INDEX('Mẫu task'!$D$5:$D$64,MATCH($B205,'Mẫu task'!$A$5:$A$64,0)),""))</f>
        <v/>
      </c>
      <c r="F205" s="23" t="str">
        <f aca="false">IF($B205="","",IFERROR(INDEX('Mẫu task'!$E$5:$E$64,MATCH($B205,'Mẫu task'!$A$5:$A$64,0)),""))</f>
        <v/>
      </c>
      <c r="G205" s="19"/>
      <c r="H205" s="20"/>
      <c r="I205" s="14" t="str">
        <f aca="false">IF($B205="","",IFERROR(INDEX('Mẫu task'!$H$5:$H$64,MATCH($B205,'Mẫu task'!$A$5:$A$64,0)),""))</f>
        <v/>
      </c>
      <c r="J205" s="24" t="str">
        <f aca="false">IF(OR($H205="",$I205=""),"",$H205+$I205)</f>
        <v/>
      </c>
      <c r="K205" s="22"/>
      <c r="L205" s="20"/>
      <c r="M205" s="14" t="str">
        <f aca="true">IF($B205="","",IF($K205="Hoàn thành","Xong",IF($K205="Không áp dụng","—",IF($K205="Bị chặn","Bị chặn",IF($O205=1,"TRỄ "&amp;(TODAY()-$J205)&amp;" ngày",IF(AND($K205="Đang làm",$P205&gt;0),"Bước trước chưa xong",IF(AND($J205&lt;&gt;"",N($J205)-TODAY()&lt;=3),"Sắp đến hạn",IF($K205="Đang làm","Đang làm","Chưa bắt đầu"))))))))</f>
        <v/>
      </c>
      <c r="N205" s="25"/>
      <c r="O205" s="26" t="n">
        <f aca="true">IF(AND($B205&lt;&gt;"",$K205&lt;&gt;"Hoàn thành",$K205&lt;&gt;"Không áp dụng",$J205&lt;&gt;""),IF($J205&lt;TODAY(),1,0),0)</f>
        <v>0</v>
      </c>
      <c r="P205" s="26" t="n">
        <f aca="false">IF(AND($B205&lt;&gt;"",$C205&lt;&gt;"",N($C205)&gt;1),COUNTIFS(Task!$A$5:$A$404,$A205,Task!$C$5:$C$404,N($C205)-1,Task!$K$5:$K$404,"&lt;&gt;Hoàn thành",Task!$K$5:$K$404,"&lt;&gt;Không áp dụng"),0)</f>
        <v>0</v>
      </c>
    </row>
    <row r="206" customFormat="false" ht="15" hidden="false" customHeight="false" outlineLevel="0" collapsed="false">
      <c r="A206" s="19"/>
      <c r="B206" s="22"/>
      <c r="C206" s="14" t="str">
        <f aca="false">IF($B206="","",IFERROR(INDEX('Mẫu task'!$B$5:$B$64,MATCH($B206,'Mẫu task'!$A$5:$A$64,0)),""))</f>
        <v/>
      </c>
      <c r="D206" s="15" t="str">
        <f aca="false">IF($C206="","",IFERROR(INDEX('Quy trình'!$B$5:$B$12,MATCH($C206,'Quy trình'!$A$5:$A$12,0)),""))</f>
        <v/>
      </c>
      <c r="E206" s="23" t="str">
        <f aca="false">IF($B206="","",IFERROR(INDEX('Mẫu task'!$D$5:$D$64,MATCH($B206,'Mẫu task'!$A$5:$A$64,0)),""))</f>
        <v/>
      </c>
      <c r="F206" s="23" t="str">
        <f aca="false">IF($B206="","",IFERROR(INDEX('Mẫu task'!$E$5:$E$64,MATCH($B206,'Mẫu task'!$A$5:$A$64,0)),""))</f>
        <v/>
      </c>
      <c r="G206" s="19"/>
      <c r="H206" s="20"/>
      <c r="I206" s="14" t="str">
        <f aca="false">IF($B206="","",IFERROR(INDEX('Mẫu task'!$H$5:$H$64,MATCH($B206,'Mẫu task'!$A$5:$A$64,0)),""))</f>
        <v/>
      </c>
      <c r="J206" s="24" t="str">
        <f aca="false">IF(OR($H206="",$I206=""),"",$H206+$I206)</f>
        <v/>
      </c>
      <c r="K206" s="22"/>
      <c r="L206" s="20"/>
      <c r="M206" s="14" t="str">
        <f aca="true">IF($B206="","",IF($K206="Hoàn thành","Xong",IF($K206="Không áp dụng","—",IF($K206="Bị chặn","Bị chặn",IF($O206=1,"TRỄ "&amp;(TODAY()-$J206)&amp;" ngày",IF(AND($K206="Đang làm",$P206&gt;0),"Bước trước chưa xong",IF(AND($J206&lt;&gt;"",N($J206)-TODAY()&lt;=3),"Sắp đến hạn",IF($K206="Đang làm","Đang làm","Chưa bắt đầu"))))))))</f>
        <v/>
      </c>
      <c r="N206" s="25"/>
      <c r="O206" s="26" t="n">
        <f aca="true">IF(AND($B206&lt;&gt;"",$K206&lt;&gt;"Hoàn thành",$K206&lt;&gt;"Không áp dụng",$J206&lt;&gt;""),IF($J206&lt;TODAY(),1,0),0)</f>
        <v>0</v>
      </c>
      <c r="P206" s="26" t="n">
        <f aca="false">IF(AND($B206&lt;&gt;"",$C206&lt;&gt;"",N($C206)&gt;1),COUNTIFS(Task!$A$5:$A$404,$A206,Task!$C$5:$C$404,N($C206)-1,Task!$K$5:$K$404,"&lt;&gt;Hoàn thành",Task!$K$5:$K$404,"&lt;&gt;Không áp dụng"),0)</f>
        <v>0</v>
      </c>
    </row>
    <row r="207" customFormat="false" ht="15" hidden="false" customHeight="false" outlineLevel="0" collapsed="false">
      <c r="A207" s="19"/>
      <c r="B207" s="22"/>
      <c r="C207" s="14" t="str">
        <f aca="false">IF($B207="","",IFERROR(INDEX('Mẫu task'!$B$5:$B$64,MATCH($B207,'Mẫu task'!$A$5:$A$64,0)),""))</f>
        <v/>
      </c>
      <c r="D207" s="15" t="str">
        <f aca="false">IF($C207="","",IFERROR(INDEX('Quy trình'!$B$5:$B$12,MATCH($C207,'Quy trình'!$A$5:$A$12,0)),""))</f>
        <v/>
      </c>
      <c r="E207" s="23" t="str">
        <f aca="false">IF($B207="","",IFERROR(INDEX('Mẫu task'!$D$5:$D$64,MATCH($B207,'Mẫu task'!$A$5:$A$64,0)),""))</f>
        <v/>
      </c>
      <c r="F207" s="23" t="str">
        <f aca="false">IF($B207="","",IFERROR(INDEX('Mẫu task'!$E$5:$E$64,MATCH($B207,'Mẫu task'!$A$5:$A$64,0)),""))</f>
        <v/>
      </c>
      <c r="G207" s="19"/>
      <c r="H207" s="20"/>
      <c r="I207" s="14" t="str">
        <f aca="false">IF($B207="","",IFERROR(INDEX('Mẫu task'!$H$5:$H$64,MATCH($B207,'Mẫu task'!$A$5:$A$64,0)),""))</f>
        <v/>
      </c>
      <c r="J207" s="24" t="str">
        <f aca="false">IF(OR($H207="",$I207=""),"",$H207+$I207)</f>
        <v/>
      </c>
      <c r="K207" s="22"/>
      <c r="L207" s="20"/>
      <c r="M207" s="14" t="str">
        <f aca="true">IF($B207="","",IF($K207="Hoàn thành","Xong",IF($K207="Không áp dụng","—",IF($K207="Bị chặn","Bị chặn",IF($O207=1,"TRỄ "&amp;(TODAY()-$J207)&amp;" ngày",IF(AND($K207="Đang làm",$P207&gt;0),"Bước trước chưa xong",IF(AND($J207&lt;&gt;"",N($J207)-TODAY()&lt;=3),"Sắp đến hạn",IF($K207="Đang làm","Đang làm","Chưa bắt đầu"))))))))</f>
        <v/>
      </c>
      <c r="N207" s="25"/>
      <c r="O207" s="26" t="n">
        <f aca="true">IF(AND($B207&lt;&gt;"",$K207&lt;&gt;"Hoàn thành",$K207&lt;&gt;"Không áp dụng",$J207&lt;&gt;""),IF($J207&lt;TODAY(),1,0),0)</f>
        <v>0</v>
      </c>
      <c r="P207" s="26" t="n">
        <f aca="false">IF(AND($B207&lt;&gt;"",$C207&lt;&gt;"",N($C207)&gt;1),COUNTIFS(Task!$A$5:$A$404,$A207,Task!$C$5:$C$404,N($C207)-1,Task!$K$5:$K$404,"&lt;&gt;Hoàn thành",Task!$K$5:$K$404,"&lt;&gt;Không áp dụng"),0)</f>
        <v>0</v>
      </c>
    </row>
    <row r="208" customFormat="false" ht="15" hidden="false" customHeight="false" outlineLevel="0" collapsed="false">
      <c r="A208" s="19"/>
      <c r="B208" s="22"/>
      <c r="C208" s="14" t="str">
        <f aca="false">IF($B208="","",IFERROR(INDEX('Mẫu task'!$B$5:$B$64,MATCH($B208,'Mẫu task'!$A$5:$A$64,0)),""))</f>
        <v/>
      </c>
      <c r="D208" s="15" t="str">
        <f aca="false">IF($C208="","",IFERROR(INDEX('Quy trình'!$B$5:$B$12,MATCH($C208,'Quy trình'!$A$5:$A$12,0)),""))</f>
        <v/>
      </c>
      <c r="E208" s="23" t="str">
        <f aca="false">IF($B208="","",IFERROR(INDEX('Mẫu task'!$D$5:$D$64,MATCH($B208,'Mẫu task'!$A$5:$A$64,0)),""))</f>
        <v/>
      </c>
      <c r="F208" s="23" t="str">
        <f aca="false">IF($B208="","",IFERROR(INDEX('Mẫu task'!$E$5:$E$64,MATCH($B208,'Mẫu task'!$A$5:$A$64,0)),""))</f>
        <v/>
      </c>
      <c r="G208" s="19"/>
      <c r="H208" s="20"/>
      <c r="I208" s="14" t="str">
        <f aca="false">IF($B208="","",IFERROR(INDEX('Mẫu task'!$H$5:$H$64,MATCH($B208,'Mẫu task'!$A$5:$A$64,0)),""))</f>
        <v/>
      </c>
      <c r="J208" s="24" t="str">
        <f aca="false">IF(OR($H208="",$I208=""),"",$H208+$I208)</f>
        <v/>
      </c>
      <c r="K208" s="22"/>
      <c r="L208" s="20"/>
      <c r="M208" s="14" t="str">
        <f aca="true">IF($B208="","",IF($K208="Hoàn thành","Xong",IF($K208="Không áp dụng","—",IF($K208="Bị chặn","Bị chặn",IF($O208=1,"TRỄ "&amp;(TODAY()-$J208)&amp;" ngày",IF(AND($K208="Đang làm",$P208&gt;0),"Bước trước chưa xong",IF(AND($J208&lt;&gt;"",N($J208)-TODAY()&lt;=3),"Sắp đến hạn",IF($K208="Đang làm","Đang làm","Chưa bắt đầu"))))))))</f>
        <v/>
      </c>
      <c r="N208" s="25"/>
      <c r="O208" s="26" t="n">
        <f aca="true">IF(AND($B208&lt;&gt;"",$K208&lt;&gt;"Hoàn thành",$K208&lt;&gt;"Không áp dụng",$J208&lt;&gt;""),IF($J208&lt;TODAY(),1,0),0)</f>
        <v>0</v>
      </c>
      <c r="P208" s="26" t="n">
        <f aca="false">IF(AND($B208&lt;&gt;"",$C208&lt;&gt;"",N($C208)&gt;1),COUNTIFS(Task!$A$5:$A$404,$A208,Task!$C$5:$C$404,N($C208)-1,Task!$K$5:$K$404,"&lt;&gt;Hoàn thành",Task!$K$5:$K$404,"&lt;&gt;Không áp dụng"),0)</f>
        <v>0</v>
      </c>
    </row>
    <row r="209" customFormat="false" ht="15" hidden="false" customHeight="false" outlineLevel="0" collapsed="false">
      <c r="A209" s="19"/>
      <c r="B209" s="22"/>
      <c r="C209" s="14" t="str">
        <f aca="false">IF($B209="","",IFERROR(INDEX('Mẫu task'!$B$5:$B$64,MATCH($B209,'Mẫu task'!$A$5:$A$64,0)),""))</f>
        <v/>
      </c>
      <c r="D209" s="15" t="str">
        <f aca="false">IF($C209="","",IFERROR(INDEX('Quy trình'!$B$5:$B$12,MATCH($C209,'Quy trình'!$A$5:$A$12,0)),""))</f>
        <v/>
      </c>
      <c r="E209" s="23" t="str">
        <f aca="false">IF($B209="","",IFERROR(INDEX('Mẫu task'!$D$5:$D$64,MATCH($B209,'Mẫu task'!$A$5:$A$64,0)),""))</f>
        <v/>
      </c>
      <c r="F209" s="23" t="str">
        <f aca="false">IF($B209="","",IFERROR(INDEX('Mẫu task'!$E$5:$E$64,MATCH($B209,'Mẫu task'!$A$5:$A$64,0)),""))</f>
        <v/>
      </c>
      <c r="G209" s="19"/>
      <c r="H209" s="20"/>
      <c r="I209" s="14" t="str">
        <f aca="false">IF($B209="","",IFERROR(INDEX('Mẫu task'!$H$5:$H$64,MATCH($B209,'Mẫu task'!$A$5:$A$64,0)),""))</f>
        <v/>
      </c>
      <c r="J209" s="24" t="str">
        <f aca="false">IF(OR($H209="",$I209=""),"",$H209+$I209)</f>
        <v/>
      </c>
      <c r="K209" s="22"/>
      <c r="L209" s="20"/>
      <c r="M209" s="14" t="str">
        <f aca="true">IF($B209="","",IF($K209="Hoàn thành","Xong",IF($K209="Không áp dụng","—",IF($K209="Bị chặn","Bị chặn",IF($O209=1,"TRỄ "&amp;(TODAY()-$J209)&amp;" ngày",IF(AND($K209="Đang làm",$P209&gt;0),"Bước trước chưa xong",IF(AND($J209&lt;&gt;"",N($J209)-TODAY()&lt;=3),"Sắp đến hạn",IF($K209="Đang làm","Đang làm","Chưa bắt đầu"))))))))</f>
        <v/>
      </c>
      <c r="N209" s="25"/>
      <c r="O209" s="26" t="n">
        <f aca="true">IF(AND($B209&lt;&gt;"",$K209&lt;&gt;"Hoàn thành",$K209&lt;&gt;"Không áp dụng",$J209&lt;&gt;""),IF($J209&lt;TODAY(),1,0),0)</f>
        <v>0</v>
      </c>
      <c r="P209" s="26" t="n">
        <f aca="false">IF(AND($B209&lt;&gt;"",$C209&lt;&gt;"",N($C209)&gt;1),COUNTIFS(Task!$A$5:$A$404,$A209,Task!$C$5:$C$404,N($C209)-1,Task!$K$5:$K$404,"&lt;&gt;Hoàn thành",Task!$K$5:$K$404,"&lt;&gt;Không áp dụng"),0)</f>
        <v>0</v>
      </c>
    </row>
    <row r="210" customFormat="false" ht="15" hidden="false" customHeight="false" outlineLevel="0" collapsed="false">
      <c r="A210" s="19"/>
      <c r="B210" s="22"/>
      <c r="C210" s="14" t="str">
        <f aca="false">IF($B210="","",IFERROR(INDEX('Mẫu task'!$B$5:$B$64,MATCH($B210,'Mẫu task'!$A$5:$A$64,0)),""))</f>
        <v/>
      </c>
      <c r="D210" s="15" t="str">
        <f aca="false">IF($C210="","",IFERROR(INDEX('Quy trình'!$B$5:$B$12,MATCH($C210,'Quy trình'!$A$5:$A$12,0)),""))</f>
        <v/>
      </c>
      <c r="E210" s="23" t="str">
        <f aca="false">IF($B210="","",IFERROR(INDEX('Mẫu task'!$D$5:$D$64,MATCH($B210,'Mẫu task'!$A$5:$A$64,0)),""))</f>
        <v/>
      </c>
      <c r="F210" s="23" t="str">
        <f aca="false">IF($B210="","",IFERROR(INDEX('Mẫu task'!$E$5:$E$64,MATCH($B210,'Mẫu task'!$A$5:$A$64,0)),""))</f>
        <v/>
      </c>
      <c r="G210" s="19"/>
      <c r="H210" s="20"/>
      <c r="I210" s="14" t="str">
        <f aca="false">IF($B210="","",IFERROR(INDEX('Mẫu task'!$H$5:$H$64,MATCH($B210,'Mẫu task'!$A$5:$A$64,0)),""))</f>
        <v/>
      </c>
      <c r="J210" s="24" t="str">
        <f aca="false">IF(OR($H210="",$I210=""),"",$H210+$I210)</f>
        <v/>
      </c>
      <c r="K210" s="22"/>
      <c r="L210" s="20"/>
      <c r="M210" s="14" t="str">
        <f aca="true">IF($B210="","",IF($K210="Hoàn thành","Xong",IF($K210="Không áp dụng","—",IF($K210="Bị chặn","Bị chặn",IF($O210=1,"TRỄ "&amp;(TODAY()-$J210)&amp;" ngày",IF(AND($K210="Đang làm",$P210&gt;0),"Bước trước chưa xong",IF(AND($J210&lt;&gt;"",N($J210)-TODAY()&lt;=3),"Sắp đến hạn",IF($K210="Đang làm","Đang làm","Chưa bắt đầu"))))))))</f>
        <v/>
      </c>
      <c r="N210" s="25"/>
      <c r="O210" s="26" t="n">
        <f aca="true">IF(AND($B210&lt;&gt;"",$K210&lt;&gt;"Hoàn thành",$K210&lt;&gt;"Không áp dụng",$J210&lt;&gt;""),IF($J210&lt;TODAY(),1,0),0)</f>
        <v>0</v>
      </c>
      <c r="P210" s="26" t="n">
        <f aca="false">IF(AND($B210&lt;&gt;"",$C210&lt;&gt;"",N($C210)&gt;1),COUNTIFS(Task!$A$5:$A$404,$A210,Task!$C$5:$C$404,N($C210)-1,Task!$K$5:$K$404,"&lt;&gt;Hoàn thành",Task!$K$5:$K$404,"&lt;&gt;Không áp dụng"),0)</f>
        <v>0</v>
      </c>
    </row>
    <row r="211" customFormat="false" ht="15" hidden="false" customHeight="false" outlineLevel="0" collapsed="false">
      <c r="A211" s="19"/>
      <c r="B211" s="22"/>
      <c r="C211" s="14" t="str">
        <f aca="false">IF($B211="","",IFERROR(INDEX('Mẫu task'!$B$5:$B$64,MATCH($B211,'Mẫu task'!$A$5:$A$64,0)),""))</f>
        <v/>
      </c>
      <c r="D211" s="15" t="str">
        <f aca="false">IF($C211="","",IFERROR(INDEX('Quy trình'!$B$5:$B$12,MATCH($C211,'Quy trình'!$A$5:$A$12,0)),""))</f>
        <v/>
      </c>
      <c r="E211" s="23" t="str">
        <f aca="false">IF($B211="","",IFERROR(INDEX('Mẫu task'!$D$5:$D$64,MATCH($B211,'Mẫu task'!$A$5:$A$64,0)),""))</f>
        <v/>
      </c>
      <c r="F211" s="23" t="str">
        <f aca="false">IF($B211="","",IFERROR(INDEX('Mẫu task'!$E$5:$E$64,MATCH($B211,'Mẫu task'!$A$5:$A$64,0)),""))</f>
        <v/>
      </c>
      <c r="G211" s="19"/>
      <c r="H211" s="20"/>
      <c r="I211" s="14" t="str">
        <f aca="false">IF($B211="","",IFERROR(INDEX('Mẫu task'!$H$5:$H$64,MATCH($B211,'Mẫu task'!$A$5:$A$64,0)),""))</f>
        <v/>
      </c>
      <c r="J211" s="24" t="str">
        <f aca="false">IF(OR($H211="",$I211=""),"",$H211+$I211)</f>
        <v/>
      </c>
      <c r="K211" s="22"/>
      <c r="L211" s="20"/>
      <c r="M211" s="14" t="str">
        <f aca="true">IF($B211="","",IF($K211="Hoàn thành","Xong",IF($K211="Không áp dụng","—",IF($K211="Bị chặn","Bị chặn",IF($O211=1,"TRỄ "&amp;(TODAY()-$J211)&amp;" ngày",IF(AND($K211="Đang làm",$P211&gt;0),"Bước trước chưa xong",IF(AND($J211&lt;&gt;"",N($J211)-TODAY()&lt;=3),"Sắp đến hạn",IF($K211="Đang làm","Đang làm","Chưa bắt đầu"))))))))</f>
        <v/>
      </c>
      <c r="N211" s="25"/>
      <c r="O211" s="26" t="n">
        <f aca="true">IF(AND($B211&lt;&gt;"",$K211&lt;&gt;"Hoàn thành",$K211&lt;&gt;"Không áp dụng",$J211&lt;&gt;""),IF($J211&lt;TODAY(),1,0),0)</f>
        <v>0</v>
      </c>
      <c r="P211" s="26" t="n">
        <f aca="false">IF(AND($B211&lt;&gt;"",$C211&lt;&gt;"",N($C211)&gt;1),COUNTIFS(Task!$A$5:$A$404,$A211,Task!$C$5:$C$404,N($C211)-1,Task!$K$5:$K$404,"&lt;&gt;Hoàn thành",Task!$K$5:$K$404,"&lt;&gt;Không áp dụng"),0)</f>
        <v>0</v>
      </c>
    </row>
    <row r="212" customFormat="false" ht="15" hidden="false" customHeight="false" outlineLevel="0" collapsed="false">
      <c r="A212" s="19"/>
      <c r="B212" s="22"/>
      <c r="C212" s="14" t="str">
        <f aca="false">IF($B212="","",IFERROR(INDEX('Mẫu task'!$B$5:$B$64,MATCH($B212,'Mẫu task'!$A$5:$A$64,0)),""))</f>
        <v/>
      </c>
      <c r="D212" s="15" t="str">
        <f aca="false">IF($C212="","",IFERROR(INDEX('Quy trình'!$B$5:$B$12,MATCH($C212,'Quy trình'!$A$5:$A$12,0)),""))</f>
        <v/>
      </c>
      <c r="E212" s="23" t="str">
        <f aca="false">IF($B212="","",IFERROR(INDEX('Mẫu task'!$D$5:$D$64,MATCH($B212,'Mẫu task'!$A$5:$A$64,0)),""))</f>
        <v/>
      </c>
      <c r="F212" s="23" t="str">
        <f aca="false">IF($B212="","",IFERROR(INDEX('Mẫu task'!$E$5:$E$64,MATCH($B212,'Mẫu task'!$A$5:$A$64,0)),""))</f>
        <v/>
      </c>
      <c r="G212" s="19"/>
      <c r="H212" s="20"/>
      <c r="I212" s="14" t="str">
        <f aca="false">IF($B212="","",IFERROR(INDEX('Mẫu task'!$H$5:$H$64,MATCH($B212,'Mẫu task'!$A$5:$A$64,0)),""))</f>
        <v/>
      </c>
      <c r="J212" s="24" t="str">
        <f aca="false">IF(OR($H212="",$I212=""),"",$H212+$I212)</f>
        <v/>
      </c>
      <c r="K212" s="22"/>
      <c r="L212" s="20"/>
      <c r="M212" s="14" t="str">
        <f aca="true">IF($B212="","",IF($K212="Hoàn thành","Xong",IF($K212="Không áp dụng","—",IF($K212="Bị chặn","Bị chặn",IF($O212=1,"TRỄ "&amp;(TODAY()-$J212)&amp;" ngày",IF(AND($K212="Đang làm",$P212&gt;0),"Bước trước chưa xong",IF(AND($J212&lt;&gt;"",N($J212)-TODAY()&lt;=3),"Sắp đến hạn",IF($K212="Đang làm","Đang làm","Chưa bắt đầu"))))))))</f>
        <v/>
      </c>
      <c r="N212" s="25"/>
      <c r="O212" s="26" t="n">
        <f aca="true">IF(AND($B212&lt;&gt;"",$K212&lt;&gt;"Hoàn thành",$K212&lt;&gt;"Không áp dụng",$J212&lt;&gt;""),IF($J212&lt;TODAY(),1,0),0)</f>
        <v>0</v>
      </c>
      <c r="P212" s="26" t="n">
        <f aca="false">IF(AND($B212&lt;&gt;"",$C212&lt;&gt;"",N($C212)&gt;1),COUNTIFS(Task!$A$5:$A$404,$A212,Task!$C$5:$C$404,N($C212)-1,Task!$K$5:$K$404,"&lt;&gt;Hoàn thành",Task!$K$5:$K$404,"&lt;&gt;Không áp dụng"),0)</f>
        <v>0</v>
      </c>
    </row>
    <row r="213" customFormat="false" ht="15" hidden="false" customHeight="false" outlineLevel="0" collapsed="false">
      <c r="A213" s="19"/>
      <c r="B213" s="22"/>
      <c r="C213" s="14" t="str">
        <f aca="false">IF($B213="","",IFERROR(INDEX('Mẫu task'!$B$5:$B$64,MATCH($B213,'Mẫu task'!$A$5:$A$64,0)),""))</f>
        <v/>
      </c>
      <c r="D213" s="15" t="str">
        <f aca="false">IF($C213="","",IFERROR(INDEX('Quy trình'!$B$5:$B$12,MATCH($C213,'Quy trình'!$A$5:$A$12,0)),""))</f>
        <v/>
      </c>
      <c r="E213" s="23" t="str">
        <f aca="false">IF($B213="","",IFERROR(INDEX('Mẫu task'!$D$5:$D$64,MATCH($B213,'Mẫu task'!$A$5:$A$64,0)),""))</f>
        <v/>
      </c>
      <c r="F213" s="23" t="str">
        <f aca="false">IF($B213="","",IFERROR(INDEX('Mẫu task'!$E$5:$E$64,MATCH($B213,'Mẫu task'!$A$5:$A$64,0)),""))</f>
        <v/>
      </c>
      <c r="G213" s="19"/>
      <c r="H213" s="20"/>
      <c r="I213" s="14" t="str">
        <f aca="false">IF($B213="","",IFERROR(INDEX('Mẫu task'!$H$5:$H$64,MATCH($B213,'Mẫu task'!$A$5:$A$64,0)),""))</f>
        <v/>
      </c>
      <c r="J213" s="24" t="str">
        <f aca="false">IF(OR($H213="",$I213=""),"",$H213+$I213)</f>
        <v/>
      </c>
      <c r="K213" s="22"/>
      <c r="L213" s="20"/>
      <c r="M213" s="14" t="str">
        <f aca="true">IF($B213="","",IF($K213="Hoàn thành","Xong",IF($K213="Không áp dụng","—",IF($K213="Bị chặn","Bị chặn",IF($O213=1,"TRỄ "&amp;(TODAY()-$J213)&amp;" ngày",IF(AND($K213="Đang làm",$P213&gt;0),"Bước trước chưa xong",IF(AND($J213&lt;&gt;"",N($J213)-TODAY()&lt;=3),"Sắp đến hạn",IF($K213="Đang làm","Đang làm","Chưa bắt đầu"))))))))</f>
        <v/>
      </c>
      <c r="N213" s="25"/>
      <c r="O213" s="26" t="n">
        <f aca="true">IF(AND($B213&lt;&gt;"",$K213&lt;&gt;"Hoàn thành",$K213&lt;&gt;"Không áp dụng",$J213&lt;&gt;""),IF($J213&lt;TODAY(),1,0),0)</f>
        <v>0</v>
      </c>
      <c r="P213" s="26" t="n">
        <f aca="false">IF(AND($B213&lt;&gt;"",$C213&lt;&gt;"",N($C213)&gt;1),COUNTIFS(Task!$A$5:$A$404,$A213,Task!$C$5:$C$404,N($C213)-1,Task!$K$5:$K$404,"&lt;&gt;Hoàn thành",Task!$K$5:$K$404,"&lt;&gt;Không áp dụng"),0)</f>
        <v>0</v>
      </c>
    </row>
    <row r="214" customFormat="false" ht="15" hidden="false" customHeight="false" outlineLevel="0" collapsed="false">
      <c r="A214" s="19"/>
      <c r="B214" s="22"/>
      <c r="C214" s="14" t="str">
        <f aca="false">IF($B214="","",IFERROR(INDEX('Mẫu task'!$B$5:$B$64,MATCH($B214,'Mẫu task'!$A$5:$A$64,0)),""))</f>
        <v/>
      </c>
      <c r="D214" s="15" t="str">
        <f aca="false">IF($C214="","",IFERROR(INDEX('Quy trình'!$B$5:$B$12,MATCH($C214,'Quy trình'!$A$5:$A$12,0)),""))</f>
        <v/>
      </c>
      <c r="E214" s="23" t="str">
        <f aca="false">IF($B214="","",IFERROR(INDEX('Mẫu task'!$D$5:$D$64,MATCH($B214,'Mẫu task'!$A$5:$A$64,0)),""))</f>
        <v/>
      </c>
      <c r="F214" s="23" t="str">
        <f aca="false">IF($B214="","",IFERROR(INDEX('Mẫu task'!$E$5:$E$64,MATCH($B214,'Mẫu task'!$A$5:$A$64,0)),""))</f>
        <v/>
      </c>
      <c r="G214" s="19"/>
      <c r="H214" s="20"/>
      <c r="I214" s="14" t="str">
        <f aca="false">IF($B214="","",IFERROR(INDEX('Mẫu task'!$H$5:$H$64,MATCH($B214,'Mẫu task'!$A$5:$A$64,0)),""))</f>
        <v/>
      </c>
      <c r="J214" s="24" t="str">
        <f aca="false">IF(OR($H214="",$I214=""),"",$H214+$I214)</f>
        <v/>
      </c>
      <c r="K214" s="22"/>
      <c r="L214" s="20"/>
      <c r="M214" s="14" t="str">
        <f aca="true">IF($B214="","",IF($K214="Hoàn thành","Xong",IF($K214="Không áp dụng","—",IF($K214="Bị chặn","Bị chặn",IF($O214=1,"TRỄ "&amp;(TODAY()-$J214)&amp;" ngày",IF(AND($K214="Đang làm",$P214&gt;0),"Bước trước chưa xong",IF(AND($J214&lt;&gt;"",N($J214)-TODAY()&lt;=3),"Sắp đến hạn",IF($K214="Đang làm","Đang làm","Chưa bắt đầu"))))))))</f>
        <v/>
      </c>
      <c r="N214" s="25"/>
      <c r="O214" s="26" t="n">
        <f aca="true">IF(AND($B214&lt;&gt;"",$K214&lt;&gt;"Hoàn thành",$K214&lt;&gt;"Không áp dụng",$J214&lt;&gt;""),IF($J214&lt;TODAY(),1,0),0)</f>
        <v>0</v>
      </c>
      <c r="P214" s="26" t="n">
        <f aca="false">IF(AND($B214&lt;&gt;"",$C214&lt;&gt;"",N($C214)&gt;1),COUNTIFS(Task!$A$5:$A$404,$A214,Task!$C$5:$C$404,N($C214)-1,Task!$K$5:$K$404,"&lt;&gt;Hoàn thành",Task!$K$5:$K$404,"&lt;&gt;Không áp dụng"),0)</f>
        <v>0</v>
      </c>
    </row>
    <row r="215" customFormat="false" ht="15" hidden="false" customHeight="false" outlineLevel="0" collapsed="false">
      <c r="A215" s="19"/>
      <c r="B215" s="22"/>
      <c r="C215" s="14" t="str">
        <f aca="false">IF($B215="","",IFERROR(INDEX('Mẫu task'!$B$5:$B$64,MATCH($B215,'Mẫu task'!$A$5:$A$64,0)),""))</f>
        <v/>
      </c>
      <c r="D215" s="15" t="str">
        <f aca="false">IF($C215="","",IFERROR(INDEX('Quy trình'!$B$5:$B$12,MATCH($C215,'Quy trình'!$A$5:$A$12,0)),""))</f>
        <v/>
      </c>
      <c r="E215" s="23" t="str">
        <f aca="false">IF($B215="","",IFERROR(INDEX('Mẫu task'!$D$5:$D$64,MATCH($B215,'Mẫu task'!$A$5:$A$64,0)),""))</f>
        <v/>
      </c>
      <c r="F215" s="23" t="str">
        <f aca="false">IF($B215="","",IFERROR(INDEX('Mẫu task'!$E$5:$E$64,MATCH($B215,'Mẫu task'!$A$5:$A$64,0)),""))</f>
        <v/>
      </c>
      <c r="G215" s="19"/>
      <c r="H215" s="20"/>
      <c r="I215" s="14" t="str">
        <f aca="false">IF($B215="","",IFERROR(INDEX('Mẫu task'!$H$5:$H$64,MATCH($B215,'Mẫu task'!$A$5:$A$64,0)),""))</f>
        <v/>
      </c>
      <c r="J215" s="24" t="str">
        <f aca="false">IF(OR($H215="",$I215=""),"",$H215+$I215)</f>
        <v/>
      </c>
      <c r="K215" s="22"/>
      <c r="L215" s="20"/>
      <c r="M215" s="14" t="str">
        <f aca="true">IF($B215="","",IF($K215="Hoàn thành","Xong",IF($K215="Không áp dụng","—",IF($K215="Bị chặn","Bị chặn",IF($O215=1,"TRỄ "&amp;(TODAY()-$J215)&amp;" ngày",IF(AND($K215="Đang làm",$P215&gt;0),"Bước trước chưa xong",IF(AND($J215&lt;&gt;"",N($J215)-TODAY()&lt;=3),"Sắp đến hạn",IF($K215="Đang làm","Đang làm","Chưa bắt đầu"))))))))</f>
        <v/>
      </c>
      <c r="N215" s="25"/>
      <c r="O215" s="26" t="n">
        <f aca="true">IF(AND($B215&lt;&gt;"",$K215&lt;&gt;"Hoàn thành",$K215&lt;&gt;"Không áp dụng",$J215&lt;&gt;""),IF($J215&lt;TODAY(),1,0),0)</f>
        <v>0</v>
      </c>
      <c r="P215" s="26" t="n">
        <f aca="false">IF(AND($B215&lt;&gt;"",$C215&lt;&gt;"",N($C215)&gt;1),COUNTIFS(Task!$A$5:$A$404,$A215,Task!$C$5:$C$404,N($C215)-1,Task!$K$5:$K$404,"&lt;&gt;Hoàn thành",Task!$K$5:$K$404,"&lt;&gt;Không áp dụng"),0)</f>
        <v>0</v>
      </c>
    </row>
    <row r="216" customFormat="false" ht="15" hidden="false" customHeight="false" outlineLevel="0" collapsed="false">
      <c r="A216" s="19"/>
      <c r="B216" s="22"/>
      <c r="C216" s="14" t="str">
        <f aca="false">IF($B216="","",IFERROR(INDEX('Mẫu task'!$B$5:$B$64,MATCH($B216,'Mẫu task'!$A$5:$A$64,0)),""))</f>
        <v/>
      </c>
      <c r="D216" s="15" t="str">
        <f aca="false">IF($C216="","",IFERROR(INDEX('Quy trình'!$B$5:$B$12,MATCH($C216,'Quy trình'!$A$5:$A$12,0)),""))</f>
        <v/>
      </c>
      <c r="E216" s="23" t="str">
        <f aca="false">IF($B216="","",IFERROR(INDEX('Mẫu task'!$D$5:$D$64,MATCH($B216,'Mẫu task'!$A$5:$A$64,0)),""))</f>
        <v/>
      </c>
      <c r="F216" s="23" t="str">
        <f aca="false">IF($B216="","",IFERROR(INDEX('Mẫu task'!$E$5:$E$64,MATCH($B216,'Mẫu task'!$A$5:$A$64,0)),""))</f>
        <v/>
      </c>
      <c r="G216" s="19"/>
      <c r="H216" s="20"/>
      <c r="I216" s="14" t="str">
        <f aca="false">IF($B216="","",IFERROR(INDEX('Mẫu task'!$H$5:$H$64,MATCH($B216,'Mẫu task'!$A$5:$A$64,0)),""))</f>
        <v/>
      </c>
      <c r="J216" s="24" t="str">
        <f aca="false">IF(OR($H216="",$I216=""),"",$H216+$I216)</f>
        <v/>
      </c>
      <c r="K216" s="22"/>
      <c r="L216" s="20"/>
      <c r="M216" s="14" t="str">
        <f aca="true">IF($B216="","",IF($K216="Hoàn thành","Xong",IF($K216="Không áp dụng","—",IF($K216="Bị chặn","Bị chặn",IF($O216=1,"TRỄ "&amp;(TODAY()-$J216)&amp;" ngày",IF(AND($K216="Đang làm",$P216&gt;0),"Bước trước chưa xong",IF(AND($J216&lt;&gt;"",N($J216)-TODAY()&lt;=3),"Sắp đến hạn",IF($K216="Đang làm","Đang làm","Chưa bắt đầu"))))))))</f>
        <v/>
      </c>
      <c r="N216" s="25"/>
      <c r="O216" s="26" t="n">
        <f aca="true">IF(AND($B216&lt;&gt;"",$K216&lt;&gt;"Hoàn thành",$K216&lt;&gt;"Không áp dụng",$J216&lt;&gt;""),IF($J216&lt;TODAY(),1,0),0)</f>
        <v>0</v>
      </c>
      <c r="P216" s="26" t="n">
        <f aca="false">IF(AND($B216&lt;&gt;"",$C216&lt;&gt;"",N($C216)&gt;1),COUNTIFS(Task!$A$5:$A$404,$A216,Task!$C$5:$C$404,N($C216)-1,Task!$K$5:$K$404,"&lt;&gt;Hoàn thành",Task!$K$5:$K$404,"&lt;&gt;Không áp dụng"),0)</f>
        <v>0</v>
      </c>
    </row>
    <row r="217" customFormat="false" ht="15" hidden="false" customHeight="false" outlineLevel="0" collapsed="false">
      <c r="A217" s="19"/>
      <c r="B217" s="22"/>
      <c r="C217" s="14" t="str">
        <f aca="false">IF($B217="","",IFERROR(INDEX('Mẫu task'!$B$5:$B$64,MATCH($B217,'Mẫu task'!$A$5:$A$64,0)),""))</f>
        <v/>
      </c>
      <c r="D217" s="15" t="str">
        <f aca="false">IF($C217="","",IFERROR(INDEX('Quy trình'!$B$5:$B$12,MATCH($C217,'Quy trình'!$A$5:$A$12,0)),""))</f>
        <v/>
      </c>
      <c r="E217" s="23" t="str">
        <f aca="false">IF($B217="","",IFERROR(INDEX('Mẫu task'!$D$5:$D$64,MATCH($B217,'Mẫu task'!$A$5:$A$64,0)),""))</f>
        <v/>
      </c>
      <c r="F217" s="23" t="str">
        <f aca="false">IF($B217="","",IFERROR(INDEX('Mẫu task'!$E$5:$E$64,MATCH($B217,'Mẫu task'!$A$5:$A$64,0)),""))</f>
        <v/>
      </c>
      <c r="G217" s="19"/>
      <c r="H217" s="20"/>
      <c r="I217" s="14" t="str">
        <f aca="false">IF($B217="","",IFERROR(INDEX('Mẫu task'!$H$5:$H$64,MATCH($B217,'Mẫu task'!$A$5:$A$64,0)),""))</f>
        <v/>
      </c>
      <c r="J217" s="24" t="str">
        <f aca="false">IF(OR($H217="",$I217=""),"",$H217+$I217)</f>
        <v/>
      </c>
      <c r="K217" s="22"/>
      <c r="L217" s="20"/>
      <c r="M217" s="14" t="str">
        <f aca="true">IF($B217="","",IF($K217="Hoàn thành","Xong",IF($K217="Không áp dụng","—",IF($K217="Bị chặn","Bị chặn",IF($O217=1,"TRỄ "&amp;(TODAY()-$J217)&amp;" ngày",IF(AND($K217="Đang làm",$P217&gt;0),"Bước trước chưa xong",IF(AND($J217&lt;&gt;"",N($J217)-TODAY()&lt;=3),"Sắp đến hạn",IF($K217="Đang làm","Đang làm","Chưa bắt đầu"))))))))</f>
        <v/>
      </c>
      <c r="N217" s="25"/>
      <c r="O217" s="26" t="n">
        <f aca="true">IF(AND($B217&lt;&gt;"",$K217&lt;&gt;"Hoàn thành",$K217&lt;&gt;"Không áp dụng",$J217&lt;&gt;""),IF($J217&lt;TODAY(),1,0),0)</f>
        <v>0</v>
      </c>
      <c r="P217" s="26" t="n">
        <f aca="false">IF(AND($B217&lt;&gt;"",$C217&lt;&gt;"",N($C217)&gt;1),COUNTIFS(Task!$A$5:$A$404,$A217,Task!$C$5:$C$404,N($C217)-1,Task!$K$5:$K$404,"&lt;&gt;Hoàn thành",Task!$K$5:$K$404,"&lt;&gt;Không áp dụng"),0)</f>
        <v>0</v>
      </c>
    </row>
    <row r="218" customFormat="false" ht="15" hidden="false" customHeight="false" outlineLevel="0" collapsed="false">
      <c r="A218" s="19"/>
      <c r="B218" s="22"/>
      <c r="C218" s="14" t="str">
        <f aca="false">IF($B218="","",IFERROR(INDEX('Mẫu task'!$B$5:$B$64,MATCH($B218,'Mẫu task'!$A$5:$A$64,0)),""))</f>
        <v/>
      </c>
      <c r="D218" s="15" t="str">
        <f aca="false">IF($C218="","",IFERROR(INDEX('Quy trình'!$B$5:$B$12,MATCH($C218,'Quy trình'!$A$5:$A$12,0)),""))</f>
        <v/>
      </c>
      <c r="E218" s="23" t="str">
        <f aca="false">IF($B218="","",IFERROR(INDEX('Mẫu task'!$D$5:$D$64,MATCH($B218,'Mẫu task'!$A$5:$A$64,0)),""))</f>
        <v/>
      </c>
      <c r="F218" s="23" t="str">
        <f aca="false">IF($B218="","",IFERROR(INDEX('Mẫu task'!$E$5:$E$64,MATCH($B218,'Mẫu task'!$A$5:$A$64,0)),""))</f>
        <v/>
      </c>
      <c r="G218" s="19"/>
      <c r="H218" s="20"/>
      <c r="I218" s="14" t="str">
        <f aca="false">IF($B218="","",IFERROR(INDEX('Mẫu task'!$H$5:$H$64,MATCH($B218,'Mẫu task'!$A$5:$A$64,0)),""))</f>
        <v/>
      </c>
      <c r="J218" s="24" t="str">
        <f aca="false">IF(OR($H218="",$I218=""),"",$H218+$I218)</f>
        <v/>
      </c>
      <c r="K218" s="22"/>
      <c r="L218" s="20"/>
      <c r="M218" s="14" t="str">
        <f aca="true">IF($B218="","",IF($K218="Hoàn thành","Xong",IF($K218="Không áp dụng","—",IF($K218="Bị chặn","Bị chặn",IF($O218=1,"TRỄ "&amp;(TODAY()-$J218)&amp;" ngày",IF(AND($K218="Đang làm",$P218&gt;0),"Bước trước chưa xong",IF(AND($J218&lt;&gt;"",N($J218)-TODAY()&lt;=3),"Sắp đến hạn",IF($K218="Đang làm","Đang làm","Chưa bắt đầu"))))))))</f>
        <v/>
      </c>
      <c r="N218" s="25"/>
      <c r="O218" s="26" t="n">
        <f aca="true">IF(AND($B218&lt;&gt;"",$K218&lt;&gt;"Hoàn thành",$K218&lt;&gt;"Không áp dụng",$J218&lt;&gt;""),IF($J218&lt;TODAY(),1,0),0)</f>
        <v>0</v>
      </c>
      <c r="P218" s="26" t="n">
        <f aca="false">IF(AND($B218&lt;&gt;"",$C218&lt;&gt;"",N($C218)&gt;1),COUNTIFS(Task!$A$5:$A$404,$A218,Task!$C$5:$C$404,N($C218)-1,Task!$K$5:$K$404,"&lt;&gt;Hoàn thành",Task!$K$5:$K$404,"&lt;&gt;Không áp dụng"),0)</f>
        <v>0</v>
      </c>
    </row>
    <row r="219" customFormat="false" ht="15" hidden="false" customHeight="false" outlineLevel="0" collapsed="false">
      <c r="A219" s="19"/>
      <c r="B219" s="22"/>
      <c r="C219" s="14" t="str">
        <f aca="false">IF($B219="","",IFERROR(INDEX('Mẫu task'!$B$5:$B$64,MATCH($B219,'Mẫu task'!$A$5:$A$64,0)),""))</f>
        <v/>
      </c>
      <c r="D219" s="15" t="str">
        <f aca="false">IF($C219="","",IFERROR(INDEX('Quy trình'!$B$5:$B$12,MATCH($C219,'Quy trình'!$A$5:$A$12,0)),""))</f>
        <v/>
      </c>
      <c r="E219" s="23" t="str">
        <f aca="false">IF($B219="","",IFERROR(INDEX('Mẫu task'!$D$5:$D$64,MATCH($B219,'Mẫu task'!$A$5:$A$64,0)),""))</f>
        <v/>
      </c>
      <c r="F219" s="23" t="str">
        <f aca="false">IF($B219="","",IFERROR(INDEX('Mẫu task'!$E$5:$E$64,MATCH($B219,'Mẫu task'!$A$5:$A$64,0)),""))</f>
        <v/>
      </c>
      <c r="G219" s="19"/>
      <c r="H219" s="20"/>
      <c r="I219" s="14" t="str">
        <f aca="false">IF($B219="","",IFERROR(INDEX('Mẫu task'!$H$5:$H$64,MATCH($B219,'Mẫu task'!$A$5:$A$64,0)),""))</f>
        <v/>
      </c>
      <c r="J219" s="24" t="str">
        <f aca="false">IF(OR($H219="",$I219=""),"",$H219+$I219)</f>
        <v/>
      </c>
      <c r="K219" s="22"/>
      <c r="L219" s="20"/>
      <c r="M219" s="14" t="str">
        <f aca="true">IF($B219="","",IF($K219="Hoàn thành","Xong",IF($K219="Không áp dụng","—",IF($K219="Bị chặn","Bị chặn",IF($O219=1,"TRỄ "&amp;(TODAY()-$J219)&amp;" ngày",IF(AND($K219="Đang làm",$P219&gt;0),"Bước trước chưa xong",IF(AND($J219&lt;&gt;"",N($J219)-TODAY()&lt;=3),"Sắp đến hạn",IF($K219="Đang làm","Đang làm","Chưa bắt đầu"))))))))</f>
        <v/>
      </c>
      <c r="N219" s="25"/>
      <c r="O219" s="26" t="n">
        <f aca="true">IF(AND($B219&lt;&gt;"",$K219&lt;&gt;"Hoàn thành",$K219&lt;&gt;"Không áp dụng",$J219&lt;&gt;""),IF($J219&lt;TODAY(),1,0),0)</f>
        <v>0</v>
      </c>
      <c r="P219" s="26" t="n">
        <f aca="false">IF(AND($B219&lt;&gt;"",$C219&lt;&gt;"",N($C219)&gt;1),COUNTIFS(Task!$A$5:$A$404,$A219,Task!$C$5:$C$404,N($C219)-1,Task!$K$5:$K$404,"&lt;&gt;Hoàn thành",Task!$K$5:$K$404,"&lt;&gt;Không áp dụng"),0)</f>
        <v>0</v>
      </c>
    </row>
    <row r="220" customFormat="false" ht="15" hidden="false" customHeight="false" outlineLevel="0" collapsed="false">
      <c r="A220" s="19"/>
      <c r="B220" s="22"/>
      <c r="C220" s="14" t="str">
        <f aca="false">IF($B220="","",IFERROR(INDEX('Mẫu task'!$B$5:$B$64,MATCH($B220,'Mẫu task'!$A$5:$A$64,0)),""))</f>
        <v/>
      </c>
      <c r="D220" s="15" t="str">
        <f aca="false">IF($C220="","",IFERROR(INDEX('Quy trình'!$B$5:$B$12,MATCH($C220,'Quy trình'!$A$5:$A$12,0)),""))</f>
        <v/>
      </c>
      <c r="E220" s="23" t="str">
        <f aca="false">IF($B220="","",IFERROR(INDEX('Mẫu task'!$D$5:$D$64,MATCH($B220,'Mẫu task'!$A$5:$A$64,0)),""))</f>
        <v/>
      </c>
      <c r="F220" s="23" t="str">
        <f aca="false">IF($B220="","",IFERROR(INDEX('Mẫu task'!$E$5:$E$64,MATCH($B220,'Mẫu task'!$A$5:$A$64,0)),""))</f>
        <v/>
      </c>
      <c r="G220" s="19"/>
      <c r="H220" s="20"/>
      <c r="I220" s="14" t="str">
        <f aca="false">IF($B220="","",IFERROR(INDEX('Mẫu task'!$H$5:$H$64,MATCH($B220,'Mẫu task'!$A$5:$A$64,0)),""))</f>
        <v/>
      </c>
      <c r="J220" s="24" t="str">
        <f aca="false">IF(OR($H220="",$I220=""),"",$H220+$I220)</f>
        <v/>
      </c>
      <c r="K220" s="22"/>
      <c r="L220" s="20"/>
      <c r="M220" s="14" t="str">
        <f aca="true">IF($B220="","",IF($K220="Hoàn thành","Xong",IF($K220="Không áp dụng","—",IF($K220="Bị chặn","Bị chặn",IF($O220=1,"TRỄ "&amp;(TODAY()-$J220)&amp;" ngày",IF(AND($K220="Đang làm",$P220&gt;0),"Bước trước chưa xong",IF(AND($J220&lt;&gt;"",N($J220)-TODAY()&lt;=3),"Sắp đến hạn",IF($K220="Đang làm","Đang làm","Chưa bắt đầu"))))))))</f>
        <v/>
      </c>
      <c r="N220" s="25"/>
      <c r="O220" s="26" t="n">
        <f aca="true">IF(AND($B220&lt;&gt;"",$K220&lt;&gt;"Hoàn thành",$K220&lt;&gt;"Không áp dụng",$J220&lt;&gt;""),IF($J220&lt;TODAY(),1,0),0)</f>
        <v>0</v>
      </c>
      <c r="P220" s="26" t="n">
        <f aca="false">IF(AND($B220&lt;&gt;"",$C220&lt;&gt;"",N($C220)&gt;1),COUNTIFS(Task!$A$5:$A$404,$A220,Task!$C$5:$C$404,N($C220)-1,Task!$K$5:$K$404,"&lt;&gt;Hoàn thành",Task!$K$5:$K$404,"&lt;&gt;Không áp dụng"),0)</f>
        <v>0</v>
      </c>
    </row>
    <row r="221" customFormat="false" ht="15" hidden="false" customHeight="false" outlineLevel="0" collapsed="false">
      <c r="A221" s="19"/>
      <c r="B221" s="22"/>
      <c r="C221" s="14" t="str">
        <f aca="false">IF($B221="","",IFERROR(INDEX('Mẫu task'!$B$5:$B$64,MATCH($B221,'Mẫu task'!$A$5:$A$64,0)),""))</f>
        <v/>
      </c>
      <c r="D221" s="15" t="str">
        <f aca="false">IF($C221="","",IFERROR(INDEX('Quy trình'!$B$5:$B$12,MATCH($C221,'Quy trình'!$A$5:$A$12,0)),""))</f>
        <v/>
      </c>
      <c r="E221" s="23" t="str">
        <f aca="false">IF($B221="","",IFERROR(INDEX('Mẫu task'!$D$5:$D$64,MATCH($B221,'Mẫu task'!$A$5:$A$64,0)),""))</f>
        <v/>
      </c>
      <c r="F221" s="23" t="str">
        <f aca="false">IF($B221="","",IFERROR(INDEX('Mẫu task'!$E$5:$E$64,MATCH($B221,'Mẫu task'!$A$5:$A$64,0)),""))</f>
        <v/>
      </c>
      <c r="G221" s="19"/>
      <c r="H221" s="20"/>
      <c r="I221" s="14" t="str">
        <f aca="false">IF($B221="","",IFERROR(INDEX('Mẫu task'!$H$5:$H$64,MATCH($B221,'Mẫu task'!$A$5:$A$64,0)),""))</f>
        <v/>
      </c>
      <c r="J221" s="24" t="str">
        <f aca="false">IF(OR($H221="",$I221=""),"",$H221+$I221)</f>
        <v/>
      </c>
      <c r="K221" s="22"/>
      <c r="L221" s="20"/>
      <c r="M221" s="14" t="str">
        <f aca="true">IF($B221="","",IF($K221="Hoàn thành","Xong",IF($K221="Không áp dụng","—",IF($K221="Bị chặn","Bị chặn",IF($O221=1,"TRỄ "&amp;(TODAY()-$J221)&amp;" ngày",IF(AND($K221="Đang làm",$P221&gt;0),"Bước trước chưa xong",IF(AND($J221&lt;&gt;"",N($J221)-TODAY()&lt;=3),"Sắp đến hạn",IF($K221="Đang làm","Đang làm","Chưa bắt đầu"))))))))</f>
        <v/>
      </c>
      <c r="N221" s="25"/>
      <c r="O221" s="26" t="n">
        <f aca="true">IF(AND($B221&lt;&gt;"",$K221&lt;&gt;"Hoàn thành",$K221&lt;&gt;"Không áp dụng",$J221&lt;&gt;""),IF($J221&lt;TODAY(),1,0),0)</f>
        <v>0</v>
      </c>
      <c r="P221" s="26" t="n">
        <f aca="false">IF(AND($B221&lt;&gt;"",$C221&lt;&gt;"",N($C221)&gt;1),COUNTIFS(Task!$A$5:$A$404,$A221,Task!$C$5:$C$404,N($C221)-1,Task!$K$5:$K$404,"&lt;&gt;Hoàn thành",Task!$K$5:$K$404,"&lt;&gt;Không áp dụng"),0)</f>
        <v>0</v>
      </c>
    </row>
    <row r="222" customFormat="false" ht="15" hidden="false" customHeight="false" outlineLevel="0" collapsed="false">
      <c r="A222" s="19"/>
      <c r="B222" s="22"/>
      <c r="C222" s="14" t="str">
        <f aca="false">IF($B222="","",IFERROR(INDEX('Mẫu task'!$B$5:$B$64,MATCH($B222,'Mẫu task'!$A$5:$A$64,0)),""))</f>
        <v/>
      </c>
      <c r="D222" s="15" t="str">
        <f aca="false">IF($C222="","",IFERROR(INDEX('Quy trình'!$B$5:$B$12,MATCH($C222,'Quy trình'!$A$5:$A$12,0)),""))</f>
        <v/>
      </c>
      <c r="E222" s="23" t="str">
        <f aca="false">IF($B222="","",IFERROR(INDEX('Mẫu task'!$D$5:$D$64,MATCH($B222,'Mẫu task'!$A$5:$A$64,0)),""))</f>
        <v/>
      </c>
      <c r="F222" s="23" t="str">
        <f aca="false">IF($B222="","",IFERROR(INDEX('Mẫu task'!$E$5:$E$64,MATCH($B222,'Mẫu task'!$A$5:$A$64,0)),""))</f>
        <v/>
      </c>
      <c r="G222" s="19"/>
      <c r="H222" s="20"/>
      <c r="I222" s="14" t="str">
        <f aca="false">IF($B222="","",IFERROR(INDEX('Mẫu task'!$H$5:$H$64,MATCH($B222,'Mẫu task'!$A$5:$A$64,0)),""))</f>
        <v/>
      </c>
      <c r="J222" s="24" t="str">
        <f aca="false">IF(OR($H222="",$I222=""),"",$H222+$I222)</f>
        <v/>
      </c>
      <c r="K222" s="22"/>
      <c r="L222" s="20"/>
      <c r="M222" s="14" t="str">
        <f aca="true">IF($B222="","",IF($K222="Hoàn thành","Xong",IF($K222="Không áp dụng","—",IF($K222="Bị chặn","Bị chặn",IF($O222=1,"TRỄ "&amp;(TODAY()-$J222)&amp;" ngày",IF(AND($K222="Đang làm",$P222&gt;0),"Bước trước chưa xong",IF(AND($J222&lt;&gt;"",N($J222)-TODAY()&lt;=3),"Sắp đến hạn",IF($K222="Đang làm","Đang làm","Chưa bắt đầu"))))))))</f>
        <v/>
      </c>
      <c r="N222" s="25"/>
      <c r="O222" s="26" t="n">
        <f aca="true">IF(AND($B222&lt;&gt;"",$K222&lt;&gt;"Hoàn thành",$K222&lt;&gt;"Không áp dụng",$J222&lt;&gt;""),IF($J222&lt;TODAY(),1,0),0)</f>
        <v>0</v>
      </c>
      <c r="P222" s="26" t="n">
        <f aca="false">IF(AND($B222&lt;&gt;"",$C222&lt;&gt;"",N($C222)&gt;1),COUNTIFS(Task!$A$5:$A$404,$A222,Task!$C$5:$C$404,N($C222)-1,Task!$K$5:$K$404,"&lt;&gt;Hoàn thành",Task!$K$5:$K$404,"&lt;&gt;Không áp dụng"),0)</f>
        <v>0</v>
      </c>
    </row>
    <row r="223" customFormat="false" ht="15" hidden="false" customHeight="false" outlineLevel="0" collapsed="false">
      <c r="A223" s="19"/>
      <c r="B223" s="22"/>
      <c r="C223" s="14" t="str">
        <f aca="false">IF($B223="","",IFERROR(INDEX('Mẫu task'!$B$5:$B$64,MATCH($B223,'Mẫu task'!$A$5:$A$64,0)),""))</f>
        <v/>
      </c>
      <c r="D223" s="15" t="str">
        <f aca="false">IF($C223="","",IFERROR(INDEX('Quy trình'!$B$5:$B$12,MATCH($C223,'Quy trình'!$A$5:$A$12,0)),""))</f>
        <v/>
      </c>
      <c r="E223" s="23" t="str">
        <f aca="false">IF($B223="","",IFERROR(INDEX('Mẫu task'!$D$5:$D$64,MATCH($B223,'Mẫu task'!$A$5:$A$64,0)),""))</f>
        <v/>
      </c>
      <c r="F223" s="23" t="str">
        <f aca="false">IF($B223="","",IFERROR(INDEX('Mẫu task'!$E$5:$E$64,MATCH($B223,'Mẫu task'!$A$5:$A$64,0)),""))</f>
        <v/>
      </c>
      <c r="G223" s="19"/>
      <c r="H223" s="20"/>
      <c r="I223" s="14" t="str">
        <f aca="false">IF($B223="","",IFERROR(INDEX('Mẫu task'!$H$5:$H$64,MATCH($B223,'Mẫu task'!$A$5:$A$64,0)),""))</f>
        <v/>
      </c>
      <c r="J223" s="24" t="str">
        <f aca="false">IF(OR($H223="",$I223=""),"",$H223+$I223)</f>
        <v/>
      </c>
      <c r="K223" s="22"/>
      <c r="L223" s="20"/>
      <c r="M223" s="14" t="str">
        <f aca="true">IF($B223="","",IF($K223="Hoàn thành","Xong",IF($K223="Không áp dụng","—",IF($K223="Bị chặn","Bị chặn",IF($O223=1,"TRỄ "&amp;(TODAY()-$J223)&amp;" ngày",IF(AND($K223="Đang làm",$P223&gt;0),"Bước trước chưa xong",IF(AND($J223&lt;&gt;"",N($J223)-TODAY()&lt;=3),"Sắp đến hạn",IF($K223="Đang làm","Đang làm","Chưa bắt đầu"))))))))</f>
        <v/>
      </c>
      <c r="N223" s="25"/>
      <c r="O223" s="26" t="n">
        <f aca="true">IF(AND($B223&lt;&gt;"",$K223&lt;&gt;"Hoàn thành",$K223&lt;&gt;"Không áp dụng",$J223&lt;&gt;""),IF($J223&lt;TODAY(),1,0),0)</f>
        <v>0</v>
      </c>
      <c r="P223" s="26" t="n">
        <f aca="false">IF(AND($B223&lt;&gt;"",$C223&lt;&gt;"",N($C223)&gt;1),COUNTIFS(Task!$A$5:$A$404,$A223,Task!$C$5:$C$404,N($C223)-1,Task!$K$5:$K$404,"&lt;&gt;Hoàn thành",Task!$K$5:$K$404,"&lt;&gt;Không áp dụng"),0)</f>
        <v>0</v>
      </c>
    </row>
    <row r="224" customFormat="false" ht="15" hidden="false" customHeight="false" outlineLevel="0" collapsed="false">
      <c r="A224" s="19"/>
      <c r="B224" s="22"/>
      <c r="C224" s="14" t="str">
        <f aca="false">IF($B224="","",IFERROR(INDEX('Mẫu task'!$B$5:$B$64,MATCH($B224,'Mẫu task'!$A$5:$A$64,0)),""))</f>
        <v/>
      </c>
      <c r="D224" s="15" t="str">
        <f aca="false">IF($C224="","",IFERROR(INDEX('Quy trình'!$B$5:$B$12,MATCH($C224,'Quy trình'!$A$5:$A$12,0)),""))</f>
        <v/>
      </c>
      <c r="E224" s="23" t="str">
        <f aca="false">IF($B224="","",IFERROR(INDEX('Mẫu task'!$D$5:$D$64,MATCH($B224,'Mẫu task'!$A$5:$A$64,0)),""))</f>
        <v/>
      </c>
      <c r="F224" s="23" t="str">
        <f aca="false">IF($B224="","",IFERROR(INDEX('Mẫu task'!$E$5:$E$64,MATCH($B224,'Mẫu task'!$A$5:$A$64,0)),""))</f>
        <v/>
      </c>
      <c r="G224" s="19"/>
      <c r="H224" s="20"/>
      <c r="I224" s="14" t="str">
        <f aca="false">IF($B224="","",IFERROR(INDEX('Mẫu task'!$H$5:$H$64,MATCH($B224,'Mẫu task'!$A$5:$A$64,0)),""))</f>
        <v/>
      </c>
      <c r="J224" s="24" t="str">
        <f aca="false">IF(OR($H224="",$I224=""),"",$H224+$I224)</f>
        <v/>
      </c>
      <c r="K224" s="22"/>
      <c r="L224" s="20"/>
      <c r="M224" s="14" t="str">
        <f aca="true">IF($B224="","",IF($K224="Hoàn thành","Xong",IF($K224="Không áp dụng","—",IF($K224="Bị chặn","Bị chặn",IF($O224=1,"TRỄ "&amp;(TODAY()-$J224)&amp;" ngày",IF(AND($K224="Đang làm",$P224&gt;0),"Bước trước chưa xong",IF(AND($J224&lt;&gt;"",N($J224)-TODAY()&lt;=3),"Sắp đến hạn",IF($K224="Đang làm","Đang làm","Chưa bắt đầu"))))))))</f>
        <v/>
      </c>
      <c r="N224" s="25"/>
      <c r="O224" s="26" t="n">
        <f aca="true">IF(AND($B224&lt;&gt;"",$K224&lt;&gt;"Hoàn thành",$K224&lt;&gt;"Không áp dụng",$J224&lt;&gt;""),IF($J224&lt;TODAY(),1,0),0)</f>
        <v>0</v>
      </c>
      <c r="P224" s="26" t="n">
        <f aca="false">IF(AND($B224&lt;&gt;"",$C224&lt;&gt;"",N($C224)&gt;1),COUNTIFS(Task!$A$5:$A$404,$A224,Task!$C$5:$C$404,N($C224)-1,Task!$K$5:$K$404,"&lt;&gt;Hoàn thành",Task!$K$5:$K$404,"&lt;&gt;Không áp dụng"),0)</f>
        <v>0</v>
      </c>
    </row>
    <row r="225" customFormat="false" ht="15" hidden="false" customHeight="false" outlineLevel="0" collapsed="false">
      <c r="A225" s="19"/>
      <c r="B225" s="22"/>
      <c r="C225" s="14" t="str">
        <f aca="false">IF($B225="","",IFERROR(INDEX('Mẫu task'!$B$5:$B$64,MATCH($B225,'Mẫu task'!$A$5:$A$64,0)),""))</f>
        <v/>
      </c>
      <c r="D225" s="15" t="str">
        <f aca="false">IF($C225="","",IFERROR(INDEX('Quy trình'!$B$5:$B$12,MATCH($C225,'Quy trình'!$A$5:$A$12,0)),""))</f>
        <v/>
      </c>
      <c r="E225" s="23" t="str">
        <f aca="false">IF($B225="","",IFERROR(INDEX('Mẫu task'!$D$5:$D$64,MATCH($B225,'Mẫu task'!$A$5:$A$64,0)),""))</f>
        <v/>
      </c>
      <c r="F225" s="23" t="str">
        <f aca="false">IF($B225="","",IFERROR(INDEX('Mẫu task'!$E$5:$E$64,MATCH($B225,'Mẫu task'!$A$5:$A$64,0)),""))</f>
        <v/>
      </c>
      <c r="G225" s="19"/>
      <c r="H225" s="20"/>
      <c r="I225" s="14" t="str">
        <f aca="false">IF($B225="","",IFERROR(INDEX('Mẫu task'!$H$5:$H$64,MATCH($B225,'Mẫu task'!$A$5:$A$64,0)),""))</f>
        <v/>
      </c>
      <c r="J225" s="24" t="str">
        <f aca="false">IF(OR($H225="",$I225=""),"",$H225+$I225)</f>
        <v/>
      </c>
      <c r="K225" s="22"/>
      <c r="L225" s="20"/>
      <c r="M225" s="14" t="str">
        <f aca="true">IF($B225="","",IF($K225="Hoàn thành","Xong",IF($K225="Không áp dụng","—",IF($K225="Bị chặn","Bị chặn",IF($O225=1,"TRỄ "&amp;(TODAY()-$J225)&amp;" ngày",IF(AND($K225="Đang làm",$P225&gt;0),"Bước trước chưa xong",IF(AND($J225&lt;&gt;"",N($J225)-TODAY()&lt;=3),"Sắp đến hạn",IF($K225="Đang làm","Đang làm","Chưa bắt đầu"))))))))</f>
        <v/>
      </c>
      <c r="N225" s="25"/>
      <c r="O225" s="26" t="n">
        <f aca="true">IF(AND($B225&lt;&gt;"",$K225&lt;&gt;"Hoàn thành",$K225&lt;&gt;"Không áp dụng",$J225&lt;&gt;""),IF($J225&lt;TODAY(),1,0),0)</f>
        <v>0</v>
      </c>
      <c r="P225" s="26" t="n">
        <f aca="false">IF(AND($B225&lt;&gt;"",$C225&lt;&gt;"",N($C225)&gt;1),COUNTIFS(Task!$A$5:$A$404,$A225,Task!$C$5:$C$404,N($C225)-1,Task!$K$5:$K$404,"&lt;&gt;Hoàn thành",Task!$K$5:$K$404,"&lt;&gt;Không áp dụng"),0)</f>
        <v>0</v>
      </c>
    </row>
    <row r="226" customFormat="false" ht="15" hidden="false" customHeight="false" outlineLevel="0" collapsed="false">
      <c r="A226" s="19"/>
      <c r="B226" s="22"/>
      <c r="C226" s="14" t="str">
        <f aca="false">IF($B226="","",IFERROR(INDEX('Mẫu task'!$B$5:$B$64,MATCH($B226,'Mẫu task'!$A$5:$A$64,0)),""))</f>
        <v/>
      </c>
      <c r="D226" s="15" t="str">
        <f aca="false">IF($C226="","",IFERROR(INDEX('Quy trình'!$B$5:$B$12,MATCH($C226,'Quy trình'!$A$5:$A$12,0)),""))</f>
        <v/>
      </c>
      <c r="E226" s="23" t="str">
        <f aca="false">IF($B226="","",IFERROR(INDEX('Mẫu task'!$D$5:$D$64,MATCH($B226,'Mẫu task'!$A$5:$A$64,0)),""))</f>
        <v/>
      </c>
      <c r="F226" s="23" t="str">
        <f aca="false">IF($B226="","",IFERROR(INDEX('Mẫu task'!$E$5:$E$64,MATCH($B226,'Mẫu task'!$A$5:$A$64,0)),""))</f>
        <v/>
      </c>
      <c r="G226" s="19"/>
      <c r="H226" s="20"/>
      <c r="I226" s="14" t="str">
        <f aca="false">IF($B226="","",IFERROR(INDEX('Mẫu task'!$H$5:$H$64,MATCH($B226,'Mẫu task'!$A$5:$A$64,0)),""))</f>
        <v/>
      </c>
      <c r="J226" s="24" t="str">
        <f aca="false">IF(OR($H226="",$I226=""),"",$H226+$I226)</f>
        <v/>
      </c>
      <c r="K226" s="22"/>
      <c r="L226" s="20"/>
      <c r="M226" s="14" t="str">
        <f aca="true">IF($B226="","",IF($K226="Hoàn thành","Xong",IF($K226="Không áp dụng","—",IF($K226="Bị chặn","Bị chặn",IF($O226=1,"TRỄ "&amp;(TODAY()-$J226)&amp;" ngày",IF(AND($K226="Đang làm",$P226&gt;0),"Bước trước chưa xong",IF(AND($J226&lt;&gt;"",N($J226)-TODAY()&lt;=3),"Sắp đến hạn",IF($K226="Đang làm","Đang làm","Chưa bắt đầu"))))))))</f>
        <v/>
      </c>
      <c r="N226" s="25"/>
      <c r="O226" s="26" t="n">
        <f aca="true">IF(AND($B226&lt;&gt;"",$K226&lt;&gt;"Hoàn thành",$K226&lt;&gt;"Không áp dụng",$J226&lt;&gt;""),IF($J226&lt;TODAY(),1,0),0)</f>
        <v>0</v>
      </c>
      <c r="P226" s="26" t="n">
        <f aca="false">IF(AND($B226&lt;&gt;"",$C226&lt;&gt;"",N($C226)&gt;1),COUNTIFS(Task!$A$5:$A$404,$A226,Task!$C$5:$C$404,N($C226)-1,Task!$K$5:$K$404,"&lt;&gt;Hoàn thành",Task!$K$5:$K$404,"&lt;&gt;Không áp dụng"),0)</f>
        <v>0</v>
      </c>
    </row>
    <row r="227" customFormat="false" ht="15" hidden="false" customHeight="false" outlineLevel="0" collapsed="false">
      <c r="A227" s="19"/>
      <c r="B227" s="22"/>
      <c r="C227" s="14" t="str">
        <f aca="false">IF($B227="","",IFERROR(INDEX('Mẫu task'!$B$5:$B$64,MATCH($B227,'Mẫu task'!$A$5:$A$64,0)),""))</f>
        <v/>
      </c>
      <c r="D227" s="15" t="str">
        <f aca="false">IF($C227="","",IFERROR(INDEX('Quy trình'!$B$5:$B$12,MATCH($C227,'Quy trình'!$A$5:$A$12,0)),""))</f>
        <v/>
      </c>
      <c r="E227" s="23" t="str">
        <f aca="false">IF($B227="","",IFERROR(INDEX('Mẫu task'!$D$5:$D$64,MATCH($B227,'Mẫu task'!$A$5:$A$64,0)),""))</f>
        <v/>
      </c>
      <c r="F227" s="23" t="str">
        <f aca="false">IF($B227="","",IFERROR(INDEX('Mẫu task'!$E$5:$E$64,MATCH($B227,'Mẫu task'!$A$5:$A$64,0)),""))</f>
        <v/>
      </c>
      <c r="G227" s="19"/>
      <c r="H227" s="20"/>
      <c r="I227" s="14" t="str">
        <f aca="false">IF($B227="","",IFERROR(INDEX('Mẫu task'!$H$5:$H$64,MATCH($B227,'Mẫu task'!$A$5:$A$64,0)),""))</f>
        <v/>
      </c>
      <c r="J227" s="24" t="str">
        <f aca="false">IF(OR($H227="",$I227=""),"",$H227+$I227)</f>
        <v/>
      </c>
      <c r="K227" s="22"/>
      <c r="L227" s="20"/>
      <c r="M227" s="14" t="str">
        <f aca="true">IF($B227="","",IF($K227="Hoàn thành","Xong",IF($K227="Không áp dụng","—",IF($K227="Bị chặn","Bị chặn",IF($O227=1,"TRỄ "&amp;(TODAY()-$J227)&amp;" ngày",IF(AND($K227="Đang làm",$P227&gt;0),"Bước trước chưa xong",IF(AND($J227&lt;&gt;"",N($J227)-TODAY()&lt;=3),"Sắp đến hạn",IF($K227="Đang làm","Đang làm","Chưa bắt đầu"))))))))</f>
        <v/>
      </c>
      <c r="N227" s="25"/>
      <c r="O227" s="26" t="n">
        <f aca="true">IF(AND($B227&lt;&gt;"",$K227&lt;&gt;"Hoàn thành",$K227&lt;&gt;"Không áp dụng",$J227&lt;&gt;""),IF($J227&lt;TODAY(),1,0),0)</f>
        <v>0</v>
      </c>
      <c r="P227" s="26" t="n">
        <f aca="false">IF(AND($B227&lt;&gt;"",$C227&lt;&gt;"",N($C227)&gt;1),COUNTIFS(Task!$A$5:$A$404,$A227,Task!$C$5:$C$404,N($C227)-1,Task!$K$5:$K$404,"&lt;&gt;Hoàn thành",Task!$K$5:$K$404,"&lt;&gt;Không áp dụng"),0)</f>
        <v>0</v>
      </c>
    </row>
    <row r="228" customFormat="false" ht="15" hidden="false" customHeight="false" outlineLevel="0" collapsed="false">
      <c r="A228" s="19"/>
      <c r="B228" s="22"/>
      <c r="C228" s="14" t="str">
        <f aca="false">IF($B228="","",IFERROR(INDEX('Mẫu task'!$B$5:$B$64,MATCH($B228,'Mẫu task'!$A$5:$A$64,0)),""))</f>
        <v/>
      </c>
      <c r="D228" s="15" t="str">
        <f aca="false">IF($C228="","",IFERROR(INDEX('Quy trình'!$B$5:$B$12,MATCH($C228,'Quy trình'!$A$5:$A$12,0)),""))</f>
        <v/>
      </c>
      <c r="E228" s="23" t="str">
        <f aca="false">IF($B228="","",IFERROR(INDEX('Mẫu task'!$D$5:$D$64,MATCH($B228,'Mẫu task'!$A$5:$A$64,0)),""))</f>
        <v/>
      </c>
      <c r="F228" s="23" t="str">
        <f aca="false">IF($B228="","",IFERROR(INDEX('Mẫu task'!$E$5:$E$64,MATCH($B228,'Mẫu task'!$A$5:$A$64,0)),""))</f>
        <v/>
      </c>
      <c r="G228" s="19"/>
      <c r="H228" s="20"/>
      <c r="I228" s="14" t="str">
        <f aca="false">IF($B228="","",IFERROR(INDEX('Mẫu task'!$H$5:$H$64,MATCH($B228,'Mẫu task'!$A$5:$A$64,0)),""))</f>
        <v/>
      </c>
      <c r="J228" s="24" t="str">
        <f aca="false">IF(OR($H228="",$I228=""),"",$H228+$I228)</f>
        <v/>
      </c>
      <c r="K228" s="22"/>
      <c r="L228" s="20"/>
      <c r="M228" s="14" t="str">
        <f aca="true">IF($B228="","",IF($K228="Hoàn thành","Xong",IF($K228="Không áp dụng","—",IF($K228="Bị chặn","Bị chặn",IF($O228=1,"TRỄ "&amp;(TODAY()-$J228)&amp;" ngày",IF(AND($K228="Đang làm",$P228&gt;0),"Bước trước chưa xong",IF(AND($J228&lt;&gt;"",N($J228)-TODAY()&lt;=3),"Sắp đến hạn",IF($K228="Đang làm","Đang làm","Chưa bắt đầu"))))))))</f>
        <v/>
      </c>
      <c r="N228" s="25"/>
      <c r="O228" s="26" t="n">
        <f aca="true">IF(AND($B228&lt;&gt;"",$K228&lt;&gt;"Hoàn thành",$K228&lt;&gt;"Không áp dụng",$J228&lt;&gt;""),IF($J228&lt;TODAY(),1,0),0)</f>
        <v>0</v>
      </c>
      <c r="P228" s="26" t="n">
        <f aca="false">IF(AND($B228&lt;&gt;"",$C228&lt;&gt;"",N($C228)&gt;1),COUNTIFS(Task!$A$5:$A$404,$A228,Task!$C$5:$C$404,N($C228)-1,Task!$K$5:$K$404,"&lt;&gt;Hoàn thành",Task!$K$5:$K$404,"&lt;&gt;Không áp dụng"),0)</f>
        <v>0</v>
      </c>
    </row>
    <row r="229" customFormat="false" ht="15" hidden="false" customHeight="false" outlineLevel="0" collapsed="false">
      <c r="A229" s="19"/>
      <c r="B229" s="22"/>
      <c r="C229" s="14" t="str">
        <f aca="false">IF($B229="","",IFERROR(INDEX('Mẫu task'!$B$5:$B$64,MATCH($B229,'Mẫu task'!$A$5:$A$64,0)),""))</f>
        <v/>
      </c>
      <c r="D229" s="15" t="str">
        <f aca="false">IF($C229="","",IFERROR(INDEX('Quy trình'!$B$5:$B$12,MATCH($C229,'Quy trình'!$A$5:$A$12,0)),""))</f>
        <v/>
      </c>
      <c r="E229" s="23" t="str">
        <f aca="false">IF($B229="","",IFERROR(INDEX('Mẫu task'!$D$5:$D$64,MATCH($B229,'Mẫu task'!$A$5:$A$64,0)),""))</f>
        <v/>
      </c>
      <c r="F229" s="23" t="str">
        <f aca="false">IF($B229="","",IFERROR(INDEX('Mẫu task'!$E$5:$E$64,MATCH($B229,'Mẫu task'!$A$5:$A$64,0)),""))</f>
        <v/>
      </c>
      <c r="G229" s="19"/>
      <c r="H229" s="20"/>
      <c r="I229" s="14" t="str">
        <f aca="false">IF($B229="","",IFERROR(INDEX('Mẫu task'!$H$5:$H$64,MATCH($B229,'Mẫu task'!$A$5:$A$64,0)),""))</f>
        <v/>
      </c>
      <c r="J229" s="24" t="str">
        <f aca="false">IF(OR($H229="",$I229=""),"",$H229+$I229)</f>
        <v/>
      </c>
      <c r="K229" s="22"/>
      <c r="L229" s="20"/>
      <c r="M229" s="14" t="str">
        <f aca="true">IF($B229="","",IF($K229="Hoàn thành","Xong",IF($K229="Không áp dụng","—",IF($K229="Bị chặn","Bị chặn",IF($O229=1,"TRỄ "&amp;(TODAY()-$J229)&amp;" ngày",IF(AND($K229="Đang làm",$P229&gt;0),"Bước trước chưa xong",IF(AND($J229&lt;&gt;"",N($J229)-TODAY()&lt;=3),"Sắp đến hạn",IF($K229="Đang làm","Đang làm","Chưa bắt đầu"))))))))</f>
        <v/>
      </c>
      <c r="N229" s="25"/>
      <c r="O229" s="26" t="n">
        <f aca="true">IF(AND($B229&lt;&gt;"",$K229&lt;&gt;"Hoàn thành",$K229&lt;&gt;"Không áp dụng",$J229&lt;&gt;""),IF($J229&lt;TODAY(),1,0),0)</f>
        <v>0</v>
      </c>
      <c r="P229" s="26" t="n">
        <f aca="false">IF(AND($B229&lt;&gt;"",$C229&lt;&gt;"",N($C229)&gt;1),COUNTIFS(Task!$A$5:$A$404,$A229,Task!$C$5:$C$404,N($C229)-1,Task!$K$5:$K$404,"&lt;&gt;Hoàn thành",Task!$K$5:$K$404,"&lt;&gt;Không áp dụng"),0)</f>
        <v>0</v>
      </c>
    </row>
    <row r="230" customFormat="false" ht="15" hidden="false" customHeight="false" outlineLevel="0" collapsed="false">
      <c r="A230" s="19"/>
      <c r="B230" s="22"/>
      <c r="C230" s="14" t="str">
        <f aca="false">IF($B230="","",IFERROR(INDEX('Mẫu task'!$B$5:$B$64,MATCH($B230,'Mẫu task'!$A$5:$A$64,0)),""))</f>
        <v/>
      </c>
      <c r="D230" s="15" t="str">
        <f aca="false">IF($C230="","",IFERROR(INDEX('Quy trình'!$B$5:$B$12,MATCH($C230,'Quy trình'!$A$5:$A$12,0)),""))</f>
        <v/>
      </c>
      <c r="E230" s="23" t="str">
        <f aca="false">IF($B230="","",IFERROR(INDEX('Mẫu task'!$D$5:$D$64,MATCH($B230,'Mẫu task'!$A$5:$A$64,0)),""))</f>
        <v/>
      </c>
      <c r="F230" s="23" t="str">
        <f aca="false">IF($B230="","",IFERROR(INDEX('Mẫu task'!$E$5:$E$64,MATCH($B230,'Mẫu task'!$A$5:$A$64,0)),""))</f>
        <v/>
      </c>
      <c r="G230" s="19"/>
      <c r="H230" s="20"/>
      <c r="I230" s="14" t="str">
        <f aca="false">IF($B230="","",IFERROR(INDEX('Mẫu task'!$H$5:$H$64,MATCH($B230,'Mẫu task'!$A$5:$A$64,0)),""))</f>
        <v/>
      </c>
      <c r="J230" s="24" t="str">
        <f aca="false">IF(OR($H230="",$I230=""),"",$H230+$I230)</f>
        <v/>
      </c>
      <c r="K230" s="22"/>
      <c r="L230" s="20"/>
      <c r="M230" s="14" t="str">
        <f aca="true">IF($B230="","",IF($K230="Hoàn thành","Xong",IF($K230="Không áp dụng","—",IF($K230="Bị chặn","Bị chặn",IF($O230=1,"TRỄ "&amp;(TODAY()-$J230)&amp;" ngày",IF(AND($K230="Đang làm",$P230&gt;0),"Bước trước chưa xong",IF(AND($J230&lt;&gt;"",N($J230)-TODAY()&lt;=3),"Sắp đến hạn",IF($K230="Đang làm","Đang làm","Chưa bắt đầu"))))))))</f>
        <v/>
      </c>
      <c r="N230" s="25"/>
      <c r="O230" s="26" t="n">
        <f aca="true">IF(AND($B230&lt;&gt;"",$K230&lt;&gt;"Hoàn thành",$K230&lt;&gt;"Không áp dụng",$J230&lt;&gt;""),IF($J230&lt;TODAY(),1,0),0)</f>
        <v>0</v>
      </c>
      <c r="P230" s="26" t="n">
        <f aca="false">IF(AND($B230&lt;&gt;"",$C230&lt;&gt;"",N($C230)&gt;1),COUNTIFS(Task!$A$5:$A$404,$A230,Task!$C$5:$C$404,N($C230)-1,Task!$K$5:$K$404,"&lt;&gt;Hoàn thành",Task!$K$5:$K$404,"&lt;&gt;Không áp dụng"),0)</f>
        <v>0</v>
      </c>
    </row>
    <row r="231" customFormat="false" ht="15" hidden="false" customHeight="false" outlineLevel="0" collapsed="false">
      <c r="A231" s="19"/>
      <c r="B231" s="22"/>
      <c r="C231" s="14" t="str">
        <f aca="false">IF($B231="","",IFERROR(INDEX('Mẫu task'!$B$5:$B$64,MATCH($B231,'Mẫu task'!$A$5:$A$64,0)),""))</f>
        <v/>
      </c>
      <c r="D231" s="15" t="str">
        <f aca="false">IF($C231="","",IFERROR(INDEX('Quy trình'!$B$5:$B$12,MATCH($C231,'Quy trình'!$A$5:$A$12,0)),""))</f>
        <v/>
      </c>
      <c r="E231" s="23" t="str">
        <f aca="false">IF($B231="","",IFERROR(INDEX('Mẫu task'!$D$5:$D$64,MATCH($B231,'Mẫu task'!$A$5:$A$64,0)),""))</f>
        <v/>
      </c>
      <c r="F231" s="23" t="str">
        <f aca="false">IF($B231="","",IFERROR(INDEX('Mẫu task'!$E$5:$E$64,MATCH($B231,'Mẫu task'!$A$5:$A$64,0)),""))</f>
        <v/>
      </c>
      <c r="G231" s="19"/>
      <c r="H231" s="20"/>
      <c r="I231" s="14" t="str">
        <f aca="false">IF($B231="","",IFERROR(INDEX('Mẫu task'!$H$5:$H$64,MATCH($B231,'Mẫu task'!$A$5:$A$64,0)),""))</f>
        <v/>
      </c>
      <c r="J231" s="24" t="str">
        <f aca="false">IF(OR($H231="",$I231=""),"",$H231+$I231)</f>
        <v/>
      </c>
      <c r="K231" s="22"/>
      <c r="L231" s="20"/>
      <c r="M231" s="14" t="str">
        <f aca="true">IF($B231="","",IF($K231="Hoàn thành","Xong",IF($K231="Không áp dụng","—",IF($K231="Bị chặn","Bị chặn",IF($O231=1,"TRỄ "&amp;(TODAY()-$J231)&amp;" ngày",IF(AND($K231="Đang làm",$P231&gt;0),"Bước trước chưa xong",IF(AND($J231&lt;&gt;"",N($J231)-TODAY()&lt;=3),"Sắp đến hạn",IF($K231="Đang làm","Đang làm","Chưa bắt đầu"))))))))</f>
        <v/>
      </c>
      <c r="N231" s="25"/>
      <c r="O231" s="26" t="n">
        <f aca="true">IF(AND($B231&lt;&gt;"",$K231&lt;&gt;"Hoàn thành",$K231&lt;&gt;"Không áp dụng",$J231&lt;&gt;""),IF($J231&lt;TODAY(),1,0),0)</f>
        <v>0</v>
      </c>
      <c r="P231" s="26" t="n">
        <f aca="false">IF(AND($B231&lt;&gt;"",$C231&lt;&gt;"",N($C231)&gt;1),COUNTIFS(Task!$A$5:$A$404,$A231,Task!$C$5:$C$404,N($C231)-1,Task!$K$5:$K$404,"&lt;&gt;Hoàn thành",Task!$K$5:$K$404,"&lt;&gt;Không áp dụng"),0)</f>
        <v>0</v>
      </c>
    </row>
    <row r="232" customFormat="false" ht="15" hidden="false" customHeight="false" outlineLevel="0" collapsed="false">
      <c r="A232" s="19"/>
      <c r="B232" s="22"/>
      <c r="C232" s="14" t="str">
        <f aca="false">IF($B232="","",IFERROR(INDEX('Mẫu task'!$B$5:$B$64,MATCH($B232,'Mẫu task'!$A$5:$A$64,0)),""))</f>
        <v/>
      </c>
      <c r="D232" s="15" t="str">
        <f aca="false">IF($C232="","",IFERROR(INDEX('Quy trình'!$B$5:$B$12,MATCH($C232,'Quy trình'!$A$5:$A$12,0)),""))</f>
        <v/>
      </c>
      <c r="E232" s="23" t="str">
        <f aca="false">IF($B232="","",IFERROR(INDEX('Mẫu task'!$D$5:$D$64,MATCH($B232,'Mẫu task'!$A$5:$A$64,0)),""))</f>
        <v/>
      </c>
      <c r="F232" s="23" t="str">
        <f aca="false">IF($B232="","",IFERROR(INDEX('Mẫu task'!$E$5:$E$64,MATCH($B232,'Mẫu task'!$A$5:$A$64,0)),""))</f>
        <v/>
      </c>
      <c r="G232" s="19"/>
      <c r="H232" s="20"/>
      <c r="I232" s="14" t="str">
        <f aca="false">IF($B232="","",IFERROR(INDEX('Mẫu task'!$H$5:$H$64,MATCH($B232,'Mẫu task'!$A$5:$A$64,0)),""))</f>
        <v/>
      </c>
      <c r="J232" s="24" t="str">
        <f aca="false">IF(OR($H232="",$I232=""),"",$H232+$I232)</f>
        <v/>
      </c>
      <c r="K232" s="22"/>
      <c r="L232" s="20"/>
      <c r="M232" s="14" t="str">
        <f aca="true">IF($B232="","",IF($K232="Hoàn thành","Xong",IF($K232="Không áp dụng","—",IF($K232="Bị chặn","Bị chặn",IF($O232=1,"TRỄ "&amp;(TODAY()-$J232)&amp;" ngày",IF(AND($K232="Đang làm",$P232&gt;0),"Bước trước chưa xong",IF(AND($J232&lt;&gt;"",N($J232)-TODAY()&lt;=3),"Sắp đến hạn",IF($K232="Đang làm","Đang làm","Chưa bắt đầu"))))))))</f>
        <v/>
      </c>
      <c r="N232" s="25"/>
      <c r="O232" s="26" t="n">
        <f aca="true">IF(AND($B232&lt;&gt;"",$K232&lt;&gt;"Hoàn thành",$K232&lt;&gt;"Không áp dụng",$J232&lt;&gt;""),IF($J232&lt;TODAY(),1,0),0)</f>
        <v>0</v>
      </c>
      <c r="P232" s="26" t="n">
        <f aca="false">IF(AND($B232&lt;&gt;"",$C232&lt;&gt;"",N($C232)&gt;1),COUNTIFS(Task!$A$5:$A$404,$A232,Task!$C$5:$C$404,N($C232)-1,Task!$K$5:$K$404,"&lt;&gt;Hoàn thành",Task!$K$5:$K$404,"&lt;&gt;Không áp dụng"),0)</f>
        <v>0</v>
      </c>
    </row>
    <row r="233" customFormat="false" ht="15" hidden="false" customHeight="false" outlineLevel="0" collapsed="false">
      <c r="A233" s="19"/>
      <c r="B233" s="22"/>
      <c r="C233" s="14" t="str">
        <f aca="false">IF($B233="","",IFERROR(INDEX('Mẫu task'!$B$5:$B$64,MATCH($B233,'Mẫu task'!$A$5:$A$64,0)),""))</f>
        <v/>
      </c>
      <c r="D233" s="15" t="str">
        <f aca="false">IF($C233="","",IFERROR(INDEX('Quy trình'!$B$5:$B$12,MATCH($C233,'Quy trình'!$A$5:$A$12,0)),""))</f>
        <v/>
      </c>
      <c r="E233" s="23" t="str">
        <f aca="false">IF($B233="","",IFERROR(INDEX('Mẫu task'!$D$5:$D$64,MATCH($B233,'Mẫu task'!$A$5:$A$64,0)),""))</f>
        <v/>
      </c>
      <c r="F233" s="23" t="str">
        <f aca="false">IF($B233="","",IFERROR(INDEX('Mẫu task'!$E$5:$E$64,MATCH($B233,'Mẫu task'!$A$5:$A$64,0)),""))</f>
        <v/>
      </c>
      <c r="G233" s="19"/>
      <c r="H233" s="20"/>
      <c r="I233" s="14" t="str">
        <f aca="false">IF($B233="","",IFERROR(INDEX('Mẫu task'!$H$5:$H$64,MATCH($B233,'Mẫu task'!$A$5:$A$64,0)),""))</f>
        <v/>
      </c>
      <c r="J233" s="24" t="str">
        <f aca="false">IF(OR($H233="",$I233=""),"",$H233+$I233)</f>
        <v/>
      </c>
      <c r="K233" s="22"/>
      <c r="L233" s="20"/>
      <c r="M233" s="14" t="str">
        <f aca="true">IF($B233="","",IF($K233="Hoàn thành","Xong",IF($K233="Không áp dụng","—",IF($K233="Bị chặn","Bị chặn",IF($O233=1,"TRỄ "&amp;(TODAY()-$J233)&amp;" ngày",IF(AND($K233="Đang làm",$P233&gt;0),"Bước trước chưa xong",IF(AND($J233&lt;&gt;"",N($J233)-TODAY()&lt;=3),"Sắp đến hạn",IF($K233="Đang làm","Đang làm","Chưa bắt đầu"))))))))</f>
        <v/>
      </c>
      <c r="N233" s="25"/>
      <c r="O233" s="26" t="n">
        <f aca="true">IF(AND($B233&lt;&gt;"",$K233&lt;&gt;"Hoàn thành",$K233&lt;&gt;"Không áp dụng",$J233&lt;&gt;""),IF($J233&lt;TODAY(),1,0),0)</f>
        <v>0</v>
      </c>
      <c r="P233" s="26" t="n">
        <f aca="false">IF(AND($B233&lt;&gt;"",$C233&lt;&gt;"",N($C233)&gt;1),COUNTIFS(Task!$A$5:$A$404,$A233,Task!$C$5:$C$404,N($C233)-1,Task!$K$5:$K$404,"&lt;&gt;Hoàn thành",Task!$K$5:$K$404,"&lt;&gt;Không áp dụng"),0)</f>
        <v>0</v>
      </c>
    </row>
    <row r="234" customFormat="false" ht="15" hidden="false" customHeight="false" outlineLevel="0" collapsed="false">
      <c r="A234" s="19"/>
      <c r="B234" s="22"/>
      <c r="C234" s="14" t="str">
        <f aca="false">IF($B234="","",IFERROR(INDEX('Mẫu task'!$B$5:$B$64,MATCH($B234,'Mẫu task'!$A$5:$A$64,0)),""))</f>
        <v/>
      </c>
      <c r="D234" s="15" t="str">
        <f aca="false">IF($C234="","",IFERROR(INDEX('Quy trình'!$B$5:$B$12,MATCH($C234,'Quy trình'!$A$5:$A$12,0)),""))</f>
        <v/>
      </c>
      <c r="E234" s="23" t="str">
        <f aca="false">IF($B234="","",IFERROR(INDEX('Mẫu task'!$D$5:$D$64,MATCH($B234,'Mẫu task'!$A$5:$A$64,0)),""))</f>
        <v/>
      </c>
      <c r="F234" s="23" t="str">
        <f aca="false">IF($B234="","",IFERROR(INDEX('Mẫu task'!$E$5:$E$64,MATCH($B234,'Mẫu task'!$A$5:$A$64,0)),""))</f>
        <v/>
      </c>
      <c r="G234" s="19"/>
      <c r="H234" s="20"/>
      <c r="I234" s="14" t="str">
        <f aca="false">IF($B234="","",IFERROR(INDEX('Mẫu task'!$H$5:$H$64,MATCH($B234,'Mẫu task'!$A$5:$A$64,0)),""))</f>
        <v/>
      </c>
      <c r="J234" s="24" t="str">
        <f aca="false">IF(OR($H234="",$I234=""),"",$H234+$I234)</f>
        <v/>
      </c>
      <c r="K234" s="22"/>
      <c r="L234" s="20"/>
      <c r="M234" s="14" t="str">
        <f aca="true">IF($B234="","",IF($K234="Hoàn thành","Xong",IF($K234="Không áp dụng","—",IF($K234="Bị chặn","Bị chặn",IF($O234=1,"TRỄ "&amp;(TODAY()-$J234)&amp;" ngày",IF(AND($K234="Đang làm",$P234&gt;0),"Bước trước chưa xong",IF(AND($J234&lt;&gt;"",N($J234)-TODAY()&lt;=3),"Sắp đến hạn",IF($K234="Đang làm","Đang làm","Chưa bắt đầu"))))))))</f>
        <v/>
      </c>
      <c r="N234" s="25"/>
      <c r="O234" s="26" t="n">
        <f aca="true">IF(AND($B234&lt;&gt;"",$K234&lt;&gt;"Hoàn thành",$K234&lt;&gt;"Không áp dụng",$J234&lt;&gt;""),IF($J234&lt;TODAY(),1,0),0)</f>
        <v>0</v>
      </c>
      <c r="P234" s="26" t="n">
        <f aca="false">IF(AND($B234&lt;&gt;"",$C234&lt;&gt;"",N($C234)&gt;1),COUNTIFS(Task!$A$5:$A$404,$A234,Task!$C$5:$C$404,N($C234)-1,Task!$K$5:$K$404,"&lt;&gt;Hoàn thành",Task!$K$5:$K$404,"&lt;&gt;Không áp dụng"),0)</f>
        <v>0</v>
      </c>
    </row>
    <row r="235" customFormat="false" ht="15" hidden="false" customHeight="false" outlineLevel="0" collapsed="false">
      <c r="A235" s="19"/>
      <c r="B235" s="22"/>
      <c r="C235" s="14" t="str">
        <f aca="false">IF($B235="","",IFERROR(INDEX('Mẫu task'!$B$5:$B$64,MATCH($B235,'Mẫu task'!$A$5:$A$64,0)),""))</f>
        <v/>
      </c>
      <c r="D235" s="15" t="str">
        <f aca="false">IF($C235="","",IFERROR(INDEX('Quy trình'!$B$5:$B$12,MATCH($C235,'Quy trình'!$A$5:$A$12,0)),""))</f>
        <v/>
      </c>
      <c r="E235" s="23" t="str">
        <f aca="false">IF($B235="","",IFERROR(INDEX('Mẫu task'!$D$5:$D$64,MATCH($B235,'Mẫu task'!$A$5:$A$64,0)),""))</f>
        <v/>
      </c>
      <c r="F235" s="23" t="str">
        <f aca="false">IF($B235="","",IFERROR(INDEX('Mẫu task'!$E$5:$E$64,MATCH($B235,'Mẫu task'!$A$5:$A$64,0)),""))</f>
        <v/>
      </c>
      <c r="G235" s="19"/>
      <c r="H235" s="20"/>
      <c r="I235" s="14" t="str">
        <f aca="false">IF($B235="","",IFERROR(INDEX('Mẫu task'!$H$5:$H$64,MATCH($B235,'Mẫu task'!$A$5:$A$64,0)),""))</f>
        <v/>
      </c>
      <c r="J235" s="24" t="str">
        <f aca="false">IF(OR($H235="",$I235=""),"",$H235+$I235)</f>
        <v/>
      </c>
      <c r="K235" s="22"/>
      <c r="L235" s="20"/>
      <c r="M235" s="14" t="str">
        <f aca="true">IF($B235="","",IF($K235="Hoàn thành","Xong",IF($K235="Không áp dụng","—",IF($K235="Bị chặn","Bị chặn",IF($O235=1,"TRỄ "&amp;(TODAY()-$J235)&amp;" ngày",IF(AND($K235="Đang làm",$P235&gt;0),"Bước trước chưa xong",IF(AND($J235&lt;&gt;"",N($J235)-TODAY()&lt;=3),"Sắp đến hạn",IF($K235="Đang làm","Đang làm","Chưa bắt đầu"))))))))</f>
        <v/>
      </c>
      <c r="N235" s="25"/>
      <c r="O235" s="26" t="n">
        <f aca="true">IF(AND($B235&lt;&gt;"",$K235&lt;&gt;"Hoàn thành",$K235&lt;&gt;"Không áp dụng",$J235&lt;&gt;""),IF($J235&lt;TODAY(),1,0),0)</f>
        <v>0</v>
      </c>
      <c r="P235" s="26" t="n">
        <f aca="false">IF(AND($B235&lt;&gt;"",$C235&lt;&gt;"",N($C235)&gt;1),COUNTIFS(Task!$A$5:$A$404,$A235,Task!$C$5:$C$404,N($C235)-1,Task!$K$5:$K$404,"&lt;&gt;Hoàn thành",Task!$K$5:$K$404,"&lt;&gt;Không áp dụng"),0)</f>
        <v>0</v>
      </c>
    </row>
    <row r="236" customFormat="false" ht="15" hidden="false" customHeight="false" outlineLevel="0" collapsed="false">
      <c r="A236" s="19"/>
      <c r="B236" s="22"/>
      <c r="C236" s="14" t="str">
        <f aca="false">IF($B236="","",IFERROR(INDEX('Mẫu task'!$B$5:$B$64,MATCH($B236,'Mẫu task'!$A$5:$A$64,0)),""))</f>
        <v/>
      </c>
      <c r="D236" s="15" t="str">
        <f aca="false">IF($C236="","",IFERROR(INDEX('Quy trình'!$B$5:$B$12,MATCH($C236,'Quy trình'!$A$5:$A$12,0)),""))</f>
        <v/>
      </c>
      <c r="E236" s="23" t="str">
        <f aca="false">IF($B236="","",IFERROR(INDEX('Mẫu task'!$D$5:$D$64,MATCH($B236,'Mẫu task'!$A$5:$A$64,0)),""))</f>
        <v/>
      </c>
      <c r="F236" s="23" t="str">
        <f aca="false">IF($B236="","",IFERROR(INDEX('Mẫu task'!$E$5:$E$64,MATCH($B236,'Mẫu task'!$A$5:$A$64,0)),""))</f>
        <v/>
      </c>
      <c r="G236" s="19"/>
      <c r="H236" s="20"/>
      <c r="I236" s="14" t="str">
        <f aca="false">IF($B236="","",IFERROR(INDEX('Mẫu task'!$H$5:$H$64,MATCH($B236,'Mẫu task'!$A$5:$A$64,0)),""))</f>
        <v/>
      </c>
      <c r="J236" s="24" t="str">
        <f aca="false">IF(OR($H236="",$I236=""),"",$H236+$I236)</f>
        <v/>
      </c>
      <c r="K236" s="22"/>
      <c r="L236" s="20"/>
      <c r="M236" s="14" t="str">
        <f aca="true">IF($B236="","",IF($K236="Hoàn thành","Xong",IF($K236="Không áp dụng","—",IF($K236="Bị chặn","Bị chặn",IF($O236=1,"TRỄ "&amp;(TODAY()-$J236)&amp;" ngày",IF(AND($K236="Đang làm",$P236&gt;0),"Bước trước chưa xong",IF(AND($J236&lt;&gt;"",N($J236)-TODAY()&lt;=3),"Sắp đến hạn",IF($K236="Đang làm","Đang làm","Chưa bắt đầu"))))))))</f>
        <v/>
      </c>
      <c r="N236" s="25"/>
      <c r="O236" s="26" t="n">
        <f aca="true">IF(AND($B236&lt;&gt;"",$K236&lt;&gt;"Hoàn thành",$K236&lt;&gt;"Không áp dụng",$J236&lt;&gt;""),IF($J236&lt;TODAY(),1,0),0)</f>
        <v>0</v>
      </c>
      <c r="P236" s="26" t="n">
        <f aca="false">IF(AND($B236&lt;&gt;"",$C236&lt;&gt;"",N($C236)&gt;1),COUNTIFS(Task!$A$5:$A$404,$A236,Task!$C$5:$C$404,N($C236)-1,Task!$K$5:$K$404,"&lt;&gt;Hoàn thành",Task!$K$5:$K$404,"&lt;&gt;Không áp dụng"),0)</f>
        <v>0</v>
      </c>
    </row>
    <row r="237" customFormat="false" ht="15" hidden="false" customHeight="false" outlineLevel="0" collapsed="false">
      <c r="A237" s="19"/>
      <c r="B237" s="22"/>
      <c r="C237" s="14" t="str">
        <f aca="false">IF($B237="","",IFERROR(INDEX('Mẫu task'!$B$5:$B$64,MATCH($B237,'Mẫu task'!$A$5:$A$64,0)),""))</f>
        <v/>
      </c>
      <c r="D237" s="15" t="str">
        <f aca="false">IF($C237="","",IFERROR(INDEX('Quy trình'!$B$5:$B$12,MATCH($C237,'Quy trình'!$A$5:$A$12,0)),""))</f>
        <v/>
      </c>
      <c r="E237" s="23" t="str">
        <f aca="false">IF($B237="","",IFERROR(INDEX('Mẫu task'!$D$5:$D$64,MATCH($B237,'Mẫu task'!$A$5:$A$64,0)),""))</f>
        <v/>
      </c>
      <c r="F237" s="23" t="str">
        <f aca="false">IF($B237="","",IFERROR(INDEX('Mẫu task'!$E$5:$E$64,MATCH($B237,'Mẫu task'!$A$5:$A$64,0)),""))</f>
        <v/>
      </c>
      <c r="G237" s="19"/>
      <c r="H237" s="20"/>
      <c r="I237" s="14" t="str">
        <f aca="false">IF($B237="","",IFERROR(INDEX('Mẫu task'!$H$5:$H$64,MATCH($B237,'Mẫu task'!$A$5:$A$64,0)),""))</f>
        <v/>
      </c>
      <c r="J237" s="24" t="str">
        <f aca="false">IF(OR($H237="",$I237=""),"",$H237+$I237)</f>
        <v/>
      </c>
      <c r="K237" s="22"/>
      <c r="L237" s="20"/>
      <c r="M237" s="14" t="str">
        <f aca="true">IF($B237="","",IF($K237="Hoàn thành","Xong",IF($K237="Không áp dụng","—",IF($K237="Bị chặn","Bị chặn",IF($O237=1,"TRỄ "&amp;(TODAY()-$J237)&amp;" ngày",IF(AND($K237="Đang làm",$P237&gt;0),"Bước trước chưa xong",IF(AND($J237&lt;&gt;"",N($J237)-TODAY()&lt;=3),"Sắp đến hạn",IF($K237="Đang làm","Đang làm","Chưa bắt đầu"))))))))</f>
        <v/>
      </c>
      <c r="N237" s="25"/>
      <c r="O237" s="26" t="n">
        <f aca="true">IF(AND($B237&lt;&gt;"",$K237&lt;&gt;"Hoàn thành",$K237&lt;&gt;"Không áp dụng",$J237&lt;&gt;""),IF($J237&lt;TODAY(),1,0),0)</f>
        <v>0</v>
      </c>
      <c r="P237" s="26" t="n">
        <f aca="false">IF(AND($B237&lt;&gt;"",$C237&lt;&gt;"",N($C237)&gt;1),COUNTIFS(Task!$A$5:$A$404,$A237,Task!$C$5:$C$404,N($C237)-1,Task!$K$5:$K$404,"&lt;&gt;Hoàn thành",Task!$K$5:$K$404,"&lt;&gt;Không áp dụng"),0)</f>
        <v>0</v>
      </c>
    </row>
    <row r="238" customFormat="false" ht="15" hidden="false" customHeight="false" outlineLevel="0" collapsed="false">
      <c r="A238" s="19"/>
      <c r="B238" s="22"/>
      <c r="C238" s="14" t="str">
        <f aca="false">IF($B238="","",IFERROR(INDEX('Mẫu task'!$B$5:$B$64,MATCH($B238,'Mẫu task'!$A$5:$A$64,0)),""))</f>
        <v/>
      </c>
      <c r="D238" s="15" t="str">
        <f aca="false">IF($C238="","",IFERROR(INDEX('Quy trình'!$B$5:$B$12,MATCH($C238,'Quy trình'!$A$5:$A$12,0)),""))</f>
        <v/>
      </c>
      <c r="E238" s="23" t="str">
        <f aca="false">IF($B238="","",IFERROR(INDEX('Mẫu task'!$D$5:$D$64,MATCH($B238,'Mẫu task'!$A$5:$A$64,0)),""))</f>
        <v/>
      </c>
      <c r="F238" s="23" t="str">
        <f aca="false">IF($B238="","",IFERROR(INDEX('Mẫu task'!$E$5:$E$64,MATCH($B238,'Mẫu task'!$A$5:$A$64,0)),""))</f>
        <v/>
      </c>
      <c r="G238" s="19"/>
      <c r="H238" s="20"/>
      <c r="I238" s="14" t="str">
        <f aca="false">IF($B238="","",IFERROR(INDEX('Mẫu task'!$H$5:$H$64,MATCH($B238,'Mẫu task'!$A$5:$A$64,0)),""))</f>
        <v/>
      </c>
      <c r="J238" s="24" t="str">
        <f aca="false">IF(OR($H238="",$I238=""),"",$H238+$I238)</f>
        <v/>
      </c>
      <c r="K238" s="22"/>
      <c r="L238" s="20"/>
      <c r="M238" s="14" t="str">
        <f aca="true">IF($B238="","",IF($K238="Hoàn thành","Xong",IF($K238="Không áp dụng","—",IF($K238="Bị chặn","Bị chặn",IF($O238=1,"TRỄ "&amp;(TODAY()-$J238)&amp;" ngày",IF(AND($K238="Đang làm",$P238&gt;0),"Bước trước chưa xong",IF(AND($J238&lt;&gt;"",N($J238)-TODAY()&lt;=3),"Sắp đến hạn",IF($K238="Đang làm","Đang làm","Chưa bắt đầu"))))))))</f>
        <v/>
      </c>
      <c r="N238" s="25"/>
      <c r="O238" s="26" t="n">
        <f aca="true">IF(AND($B238&lt;&gt;"",$K238&lt;&gt;"Hoàn thành",$K238&lt;&gt;"Không áp dụng",$J238&lt;&gt;""),IF($J238&lt;TODAY(),1,0),0)</f>
        <v>0</v>
      </c>
      <c r="P238" s="26" t="n">
        <f aca="false">IF(AND($B238&lt;&gt;"",$C238&lt;&gt;"",N($C238)&gt;1),COUNTIFS(Task!$A$5:$A$404,$A238,Task!$C$5:$C$404,N($C238)-1,Task!$K$5:$K$404,"&lt;&gt;Hoàn thành",Task!$K$5:$K$404,"&lt;&gt;Không áp dụng"),0)</f>
        <v>0</v>
      </c>
    </row>
    <row r="239" customFormat="false" ht="15" hidden="false" customHeight="false" outlineLevel="0" collapsed="false">
      <c r="A239" s="19"/>
      <c r="B239" s="22"/>
      <c r="C239" s="14" t="str">
        <f aca="false">IF($B239="","",IFERROR(INDEX('Mẫu task'!$B$5:$B$64,MATCH($B239,'Mẫu task'!$A$5:$A$64,0)),""))</f>
        <v/>
      </c>
      <c r="D239" s="15" t="str">
        <f aca="false">IF($C239="","",IFERROR(INDEX('Quy trình'!$B$5:$B$12,MATCH($C239,'Quy trình'!$A$5:$A$12,0)),""))</f>
        <v/>
      </c>
      <c r="E239" s="23" t="str">
        <f aca="false">IF($B239="","",IFERROR(INDEX('Mẫu task'!$D$5:$D$64,MATCH($B239,'Mẫu task'!$A$5:$A$64,0)),""))</f>
        <v/>
      </c>
      <c r="F239" s="23" t="str">
        <f aca="false">IF($B239="","",IFERROR(INDEX('Mẫu task'!$E$5:$E$64,MATCH($B239,'Mẫu task'!$A$5:$A$64,0)),""))</f>
        <v/>
      </c>
      <c r="G239" s="19"/>
      <c r="H239" s="20"/>
      <c r="I239" s="14" t="str">
        <f aca="false">IF($B239="","",IFERROR(INDEX('Mẫu task'!$H$5:$H$64,MATCH($B239,'Mẫu task'!$A$5:$A$64,0)),""))</f>
        <v/>
      </c>
      <c r="J239" s="24" t="str">
        <f aca="false">IF(OR($H239="",$I239=""),"",$H239+$I239)</f>
        <v/>
      </c>
      <c r="K239" s="22"/>
      <c r="L239" s="20"/>
      <c r="M239" s="14" t="str">
        <f aca="true">IF($B239="","",IF($K239="Hoàn thành","Xong",IF($K239="Không áp dụng","—",IF($K239="Bị chặn","Bị chặn",IF($O239=1,"TRỄ "&amp;(TODAY()-$J239)&amp;" ngày",IF(AND($K239="Đang làm",$P239&gt;0),"Bước trước chưa xong",IF(AND($J239&lt;&gt;"",N($J239)-TODAY()&lt;=3),"Sắp đến hạn",IF($K239="Đang làm","Đang làm","Chưa bắt đầu"))))))))</f>
        <v/>
      </c>
      <c r="N239" s="25"/>
      <c r="O239" s="26" t="n">
        <f aca="true">IF(AND($B239&lt;&gt;"",$K239&lt;&gt;"Hoàn thành",$K239&lt;&gt;"Không áp dụng",$J239&lt;&gt;""),IF($J239&lt;TODAY(),1,0),0)</f>
        <v>0</v>
      </c>
      <c r="P239" s="26" t="n">
        <f aca="false">IF(AND($B239&lt;&gt;"",$C239&lt;&gt;"",N($C239)&gt;1),COUNTIFS(Task!$A$5:$A$404,$A239,Task!$C$5:$C$404,N($C239)-1,Task!$K$5:$K$404,"&lt;&gt;Hoàn thành",Task!$K$5:$K$404,"&lt;&gt;Không áp dụng"),0)</f>
        <v>0</v>
      </c>
    </row>
    <row r="240" customFormat="false" ht="15" hidden="false" customHeight="false" outlineLevel="0" collapsed="false">
      <c r="A240" s="19"/>
      <c r="B240" s="22"/>
      <c r="C240" s="14" t="str">
        <f aca="false">IF($B240="","",IFERROR(INDEX('Mẫu task'!$B$5:$B$64,MATCH($B240,'Mẫu task'!$A$5:$A$64,0)),""))</f>
        <v/>
      </c>
      <c r="D240" s="15" t="str">
        <f aca="false">IF($C240="","",IFERROR(INDEX('Quy trình'!$B$5:$B$12,MATCH($C240,'Quy trình'!$A$5:$A$12,0)),""))</f>
        <v/>
      </c>
      <c r="E240" s="23" t="str">
        <f aca="false">IF($B240="","",IFERROR(INDEX('Mẫu task'!$D$5:$D$64,MATCH($B240,'Mẫu task'!$A$5:$A$64,0)),""))</f>
        <v/>
      </c>
      <c r="F240" s="23" t="str">
        <f aca="false">IF($B240="","",IFERROR(INDEX('Mẫu task'!$E$5:$E$64,MATCH($B240,'Mẫu task'!$A$5:$A$64,0)),""))</f>
        <v/>
      </c>
      <c r="G240" s="19"/>
      <c r="H240" s="20"/>
      <c r="I240" s="14" t="str">
        <f aca="false">IF($B240="","",IFERROR(INDEX('Mẫu task'!$H$5:$H$64,MATCH($B240,'Mẫu task'!$A$5:$A$64,0)),""))</f>
        <v/>
      </c>
      <c r="J240" s="24" t="str">
        <f aca="false">IF(OR($H240="",$I240=""),"",$H240+$I240)</f>
        <v/>
      </c>
      <c r="K240" s="22"/>
      <c r="L240" s="20"/>
      <c r="M240" s="14" t="str">
        <f aca="true">IF($B240="","",IF($K240="Hoàn thành","Xong",IF($K240="Không áp dụng","—",IF($K240="Bị chặn","Bị chặn",IF($O240=1,"TRỄ "&amp;(TODAY()-$J240)&amp;" ngày",IF(AND($K240="Đang làm",$P240&gt;0),"Bước trước chưa xong",IF(AND($J240&lt;&gt;"",N($J240)-TODAY()&lt;=3),"Sắp đến hạn",IF($K240="Đang làm","Đang làm","Chưa bắt đầu"))))))))</f>
        <v/>
      </c>
      <c r="N240" s="25"/>
      <c r="O240" s="26" t="n">
        <f aca="true">IF(AND($B240&lt;&gt;"",$K240&lt;&gt;"Hoàn thành",$K240&lt;&gt;"Không áp dụng",$J240&lt;&gt;""),IF($J240&lt;TODAY(),1,0),0)</f>
        <v>0</v>
      </c>
      <c r="P240" s="26" t="n">
        <f aca="false">IF(AND($B240&lt;&gt;"",$C240&lt;&gt;"",N($C240)&gt;1),COUNTIFS(Task!$A$5:$A$404,$A240,Task!$C$5:$C$404,N($C240)-1,Task!$K$5:$K$404,"&lt;&gt;Hoàn thành",Task!$K$5:$K$404,"&lt;&gt;Không áp dụng"),0)</f>
        <v>0</v>
      </c>
    </row>
    <row r="241" customFormat="false" ht="15" hidden="false" customHeight="false" outlineLevel="0" collapsed="false">
      <c r="A241" s="19"/>
      <c r="B241" s="22"/>
      <c r="C241" s="14" t="str">
        <f aca="false">IF($B241="","",IFERROR(INDEX('Mẫu task'!$B$5:$B$64,MATCH($B241,'Mẫu task'!$A$5:$A$64,0)),""))</f>
        <v/>
      </c>
      <c r="D241" s="15" t="str">
        <f aca="false">IF($C241="","",IFERROR(INDEX('Quy trình'!$B$5:$B$12,MATCH($C241,'Quy trình'!$A$5:$A$12,0)),""))</f>
        <v/>
      </c>
      <c r="E241" s="23" t="str">
        <f aca="false">IF($B241="","",IFERROR(INDEX('Mẫu task'!$D$5:$D$64,MATCH($B241,'Mẫu task'!$A$5:$A$64,0)),""))</f>
        <v/>
      </c>
      <c r="F241" s="23" t="str">
        <f aca="false">IF($B241="","",IFERROR(INDEX('Mẫu task'!$E$5:$E$64,MATCH($B241,'Mẫu task'!$A$5:$A$64,0)),""))</f>
        <v/>
      </c>
      <c r="G241" s="19"/>
      <c r="H241" s="20"/>
      <c r="I241" s="14" t="str">
        <f aca="false">IF($B241="","",IFERROR(INDEX('Mẫu task'!$H$5:$H$64,MATCH($B241,'Mẫu task'!$A$5:$A$64,0)),""))</f>
        <v/>
      </c>
      <c r="J241" s="24" t="str">
        <f aca="false">IF(OR($H241="",$I241=""),"",$H241+$I241)</f>
        <v/>
      </c>
      <c r="K241" s="22"/>
      <c r="L241" s="20"/>
      <c r="M241" s="14" t="str">
        <f aca="true">IF($B241="","",IF($K241="Hoàn thành","Xong",IF($K241="Không áp dụng","—",IF($K241="Bị chặn","Bị chặn",IF($O241=1,"TRỄ "&amp;(TODAY()-$J241)&amp;" ngày",IF(AND($K241="Đang làm",$P241&gt;0),"Bước trước chưa xong",IF(AND($J241&lt;&gt;"",N($J241)-TODAY()&lt;=3),"Sắp đến hạn",IF($K241="Đang làm","Đang làm","Chưa bắt đầu"))))))))</f>
        <v/>
      </c>
      <c r="N241" s="25"/>
      <c r="O241" s="26" t="n">
        <f aca="true">IF(AND($B241&lt;&gt;"",$K241&lt;&gt;"Hoàn thành",$K241&lt;&gt;"Không áp dụng",$J241&lt;&gt;""),IF($J241&lt;TODAY(),1,0),0)</f>
        <v>0</v>
      </c>
      <c r="P241" s="26" t="n">
        <f aca="false">IF(AND($B241&lt;&gt;"",$C241&lt;&gt;"",N($C241)&gt;1),COUNTIFS(Task!$A$5:$A$404,$A241,Task!$C$5:$C$404,N($C241)-1,Task!$K$5:$K$404,"&lt;&gt;Hoàn thành",Task!$K$5:$K$404,"&lt;&gt;Không áp dụng"),0)</f>
        <v>0</v>
      </c>
    </row>
    <row r="242" customFormat="false" ht="15" hidden="false" customHeight="false" outlineLevel="0" collapsed="false">
      <c r="A242" s="19"/>
      <c r="B242" s="22"/>
      <c r="C242" s="14" t="str">
        <f aca="false">IF($B242="","",IFERROR(INDEX('Mẫu task'!$B$5:$B$64,MATCH($B242,'Mẫu task'!$A$5:$A$64,0)),""))</f>
        <v/>
      </c>
      <c r="D242" s="15" t="str">
        <f aca="false">IF($C242="","",IFERROR(INDEX('Quy trình'!$B$5:$B$12,MATCH($C242,'Quy trình'!$A$5:$A$12,0)),""))</f>
        <v/>
      </c>
      <c r="E242" s="23" t="str">
        <f aca="false">IF($B242="","",IFERROR(INDEX('Mẫu task'!$D$5:$D$64,MATCH($B242,'Mẫu task'!$A$5:$A$64,0)),""))</f>
        <v/>
      </c>
      <c r="F242" s="23" t="str">
        <f aca="false">IF($B242="","",IFERROR(INDEX('Mẫu task'!$E$5:$E$64,MATCH($B242,'Mẫu task'!$A$5:$A$64,0)),""))</f>
        <v/>
      </c>
      <c r="G242" s="19"/>
      <c r="H242" s="20"/>
      <c r="I242" s="14" t="str">
        <f aca="false">IF($B242="","",IFERROR(INDEX('Mẫu task'!$H$5:$H$64,MATCH($B242,'Mẫu task'!$A$5:$A$64,0)),""))</f>
        <v/>
      </c>
      <c r="J242" s="24" t="str">
        <f aca="false">IF(OR($H242="",$I242=""),"",$H242+$I242)</f>
        <v/>
      </c>
      <c r="K242" s="22"/>
      <c r="L242" s="20"/>
      <c r="M242" s="14" t="str">
        <f aca="true">IF($B242="","",IF($K242="Hoàn thành","Xong",IF($K242="Không áp dụng","—",IF($K242="Bị chặn","Bị chặn",IF($O242=1,"TRỄ "&amp;(TODAY()-$J242)&amp;" ngày",IF(AND($K242="Đang làm",$P242&gt;0),"Bước trước chưa xong",IF(AND($J242&lt;&gt;"",N($J242)-TODAY()&lt;=3),"Sắp đến hạn",IF($K242="Đang làm","Đang làm","Chưa bắt đầu"))))))))</f>
        <v/>
      </c>
      <c r="N242" s="25"/>
      <c r="O242" s="26" t="n">
        <f aca="true">IF(AND($B242&lt;&gt;"",$K242&lt;&gt;"Hoàn thành",$K242&lt;&gt;"Không áp dụng",$J242&lt;&gt;""),IF($J242&lt;TODAY(),1,0),0)</f>
        <v>0</v>
      </c>
      <c r="P242" s="26" t="n">
        <f aca="false">IF(AND($B242&lt;&gt;"",$C242&lt;&gt;"",N($C242)&gt;1),COUNTIFS(Task!$A$5:$A$404,$A242,Task!$C$5:$C$404,N($C242)-1,Task!$K$5:$K$404,"&lt;&gt;Hoàn thành",Task!$K$5:$K$404,"&lt;&gt;Không áp dụng"),0)</f>
        <v>0</v>
      </c>
    </row>
    <row r="243" customFormat="false" ht="15" hidden="false" customHeight="false" outlineLevel="0" collapsed="false">
      <c r="A243" s="19"/>
      <c r="B243" s="22"/>
      <c r="C243" s="14" t="str">
        <f aca="false">IF($B243="","",IFERROR(INDEX('Mẫu task'!$B$5:$B$64,MATCH($B243,'Mẫu task'!$A$5:$A$64,0)),""))</f>
        <v/>
      </c>
      <c r="D243" s="15" t="str">
        <f aca="false">IF($C243="","",IFERROR(INDEX('Quy trình'!$B$5:$B$12,MATCH($C243,'Quy trình'!$A$5:$A$12,0)),""))</f>
        <v/>
      </c>
      <c r="E243" s="23" t="str">
        <f aca="false">IF($B243="","",IFERROR(INDEX('Mẫu task'!$D$5:$D$64,MATCH($B243,'Mẫu task'!$A$5:$A$64,0)),""))</f>
        <v/>
      </c>
      <c r="F243" s="23" t="str">
        <f aca="false">IF($B243="","",IFERROR(INDEX('Mẫu task'!$E$5:$E$64,MATCH($B243,'Mẫu task'!$A$5:$A$64,0)),""))</f>
        <v/>
      </c>
      <c r="G243" s="19"/>
      <c r="H243" s="20"/>
      <c r="I243" s="14" t="str">
        <f aca="false">IF($B243="","",IFERROR(INDEX('Mẫu task'!$H$5:$H$64,MATCH($B243,'Mẫu task'!$A$5:$A$64,0)),""))</f>
        <v/>
      </c>
      <c r="J243" s="24" t="str">
        <f aca="false">IF(OR($H243="",$I243=""),"",$H243+$I243)</f>
        <v/>
      </c>
      <c r="K243" s="22"/>
      <c r="L243" s="20"/>
      <c r="M243" s="14" t="str">
        <f aca="true">IF($B243="","",IF($K243="Hoàn thành","Xong",IF($K243="Không áp dụng","—",IF($K243="Bị chặn","Bị chặn",IF($O243=1,"TRỄ "&amp;(TODAY()-$J243)&amp;" ngày",IF(AND($K243="Đang làm",$P243&gt;0),"Bước trước chưa xong",IF(AND($J243&lt;&gt;"",N($J243)-TODAY()&lt;=3),"Sắp đến hạn",IF($K243="Đang làm","Đang làm","Chưa bắt đầu"))))))))</f>
        <v/>
      </c>
      <c r="N243" s="25"/>
      <c r="O243" s="26" t="n">
        <f aca="true">IF(AND($B243&lt;&gt;"",$K243&lt;&gt;"Hoàn thành",$K243&lt;&gt;"Không áp dụng",$J243&lt;&gt;""),IF($J243&lt;TODAY(),1,0),0)</f>
        <v>0</v>
      </c>
      <c r="P243" s="26" t="n">
        <f aca="false">IF(AND($B243&lt;&gt;"",$C243&lt;&gt;"",N($C243)&gt;1),COUNTIFS(Task!$A$5:$A$404,$A243,Task!$C$5:$C$404,N($C243)-1,Task!$K$5:$K$404,"&lt;&gt;Hoàn thành",Task!$K$5:$K$404,"&lt;&gt;Không áp dụng"),0)</f>
        <v>0</v>
      </c>
    </row>
    <row r="244" customFormat="false" ht="15" hidden="false" customHeight="false" outlineLevel="0" collapsed="false">
      <c r="A244" s="19"/>
      <c r="B244" s="22"/>
      <c r="C244" s="14" t="str">
        <f aca="false">IF($B244="","",IFERROR(INDEX('Mẫu task'!$B$5:$B$64,MATCH($B244,'Mẫu task'!$A$5:$A$64,0)),""))</f>
        <v/>
      </c>
      <c r="D244" s="15" t="str">
        <f aca="false">IF($C244="","",IFERROR(INDEX('Quy trình'!$B$5:$B$12,MATCH($C244,'Quy trình'!$A$5:$A$12,0)),""))</f>
        <v/>
      </c>
      <c r="E244" s="23" t="str">
        <f aca="false">IF($B244="","",IFERROR(INDEX('Mẫu task'!$D$5:$D$64,MATCH($B244,'Mẫu task'!$A$5:$A$64,0)),""))</f>
        <v/>
      </c>
      <c r="F244" s="23" t="str">
        <f aca="false">IF($B244="","",IFERROR(INDEX('Mẫu task'!$E$5:$E$64,MATCH($B244,'Mẫu task'!$A$5:$A$64,0)),""))</f>
        <v/>
      </c>
      <c r="G244" s="19"/>
      <c r="H244" s="20"/>
      <c r="I244" s="14" t="str">
        <f aca="false">IF($B244="","",IFERROR(INDEX('Mẫu task'!$H$5:$H$64,MATCH($B244,'Mẫu task'!$A$5:$A$64,0)),""))</f>
        <v/>
      </c>
      <c r="J244" s="24" t="str">
        <f aca="false">IF(OR($H244="",$I244=""),"",$H244+$I244)</f>
        <v/>
      </c>
      <c r="K244" s="22"/>
      <c r="L244" s="20"/>
      <c r="M244" s="14" t="str">
        <f aca="true">IF($B244="","",IF($K244="Hoàn thành","Xong",IF($K244="Không áp dụng","—",IF($K244="Bị chặn","Bị chặn",IF($O244=1,"TRỄ "&amp;(TODAY()-$J244)&amp;" ngày",IF(AND($K244="Đang làm",$P244&gt;0),"Bước trước chưa xong",IF(AND($J244&lt;&gt;"",N($J244)-TODAY()&lt;=3),"Sắp đến hạn",IF($K244="Đang làm","Đang làm","Chưa bắt đầu"))))))))</f>
        <v/>
      </c>
      <c r="N244" s="25"/>
      <c r="O244" s="26" t="n">
        <f aca="true">IF(AND($B244&lt;&gt;"",$K244&lt;&gt;"Hoàn thành",$K244&lt;&gt;"Không áp dụng",$J244&lt;&gt;""),IF($J244&lt;TODAY(),1,0),0)</f>
        <v>0</v>
      </c>
      <c r="P244" s="26" t="n">
        <f aca="false">IF(AND($B244&lt;&gt;"",$C244&lt;&gt;"",N($C244)&gt;1),COUNTIFS(Task!$A$5:$A$404,$A244,Task!$C$5:$C$404,N($C244)-1,Task!$K$5:$K$404,"&lt;&gt;Hoàn thành",Task!$K$5:$K$404,"&lt;&gt;Không áp dụng"),0)</f>
        <v>0</v>
      </c>
    </row>
    <row r="245" customFormat="false" ht="15" hidden="false" customHeight="false" outlineLevel="0" collapsed="false">
      <c r="A245" s="19"/>
      <c r="B245" s="22"/>
      <c r="C245" s="14" t="str">
        <f aca="false">IF($B245="","",IFERROR(INDEX('Mẫu task'!$B$5:$B$64,MATCH($B245,'Mẫu task'!$A$5:$A$64,0)),""))</f>
        <v/>
      </c>
      <c r="D245" s="15" t="str">
        <f aca="false">IF($C245="","",IFERROR(INDEX('Quy trình'!$B$5:$B$12,MATCH($C245,'Quy trình'!$A$5:$A$12,0)),""))</f>
        <v/>
      </c>
      <c r="E245" s="23" t="str">
        <f aca="false">IF($B245="","",IFERROR(INDEX('Mẫu task'!$D$5:$D$64,MATCH($B245,'Mẫu task'!$A$5:$A$64,0)),""))</f>
        <v/>
      </c>
      <c r="F245" s="23" t="str">
        <f aca="false">IF($B245="","",IFERROR(INDEX('Mẫu task'!$E$5:$E$64,MATCH($B245,'Mẫu task'!$A$5:$A$64,0)),""))</f>
        <v/>
      </c>
      <c r="G245" s="19"/>
      <c r="H245" s="20"/>
      <c r="I245" s="14" t="str">
        <f aca="false">IF($B245="","",IFERROR(INDEX('Mẫu task'!$H$5:$H$64,MATCH($B245,'Mẫu task'!$A$5:$A$64,0)),""))</f>
        <v/>
      </c>
      <c r="J245" s="24" t="str">
        <f aca="false">IF(OR($H245="",$I245=""),"",$H245+$I245)</f>
        <v/>
      </c>
      <c r="K245" s="22"/>
      <c r="L245" s="20"/>
      <c r="M245" s="14" t="str">
        <f aca="true">IF($B245="","",IF($K245="Hoàn thành","Xong",IF($K245="Không áp dụng","—",IF($K245="Bị chặn","Bị chặn",IF($O245=1,"TRỄ "&amp;(TODAY()-$J245)&amp;" ngày",IF(AND($K245="Đang làm",$P245&gt;0),"Bước trước chưa xong",IF(AND($J245&lt;&gt;"",N($J245)-TODAY()&lt;=3),"Sắp đến hạn",IF($K245="Đang làm","Đang làm","Chưa bắt đầu"))))))))</f>
        <v/>
      </c>
      <c r="N245" s="25"/>
      <c r="O245" s="26" t="n">
        <f aca="true">IF(AND($B245&lt;&gt;"",$K245&lt;&gt;"Hoàn thành",$K245&lt;&gt;"Không áp dụng",$J245&lt;&gt;""),IF($J245&lt;TODAY(),1,0),0)</f>
        <v>0</v>
      </c>
      <c r="P245" s="26" t="n">
        <f aca="false">IF(AND($B245&lt;&gt;"",$C245&lt;&gt;"",N($C245)&gt;1),COUNTIFS(Task!$A$5:$A$404,$A245,Task!$C$5:$C$404,N($C245)-1,Task!$K$5:$K$404,"&lt;&gt;Hoàn thành",Task!$K$5:$K$404,"&lt;&gt;Không áp dụng"),0)</f>
        <v>0</v>
      </c>
    </row>
    <row r="246" customFormat="false" ht="15" hidden="false" customHeight="false" outlineLevel="0" collapsed="false">
      <c r="A246" s="19"/>
      <c r="B246" s="22"/>
      <c r="C246" s="14" t="str">
        <f aca="false">IF($B246="","",IFERROR(INDEX('Mẫu task'!$B$5:$B$64,MATCH($B246,'Mẫu task'!$A$5:$A$64,0)),""))</f>
        <v/>
      </c>
      <c r="D246" s="15" t="str">
        <f aca="false">IF($C246="","",IFERROR(INDEX('Quy trình'!$B$5:$B$12,MATCH($C246,'Quy trình'!$A$5:$A$12,0)),""))</f>
        <v/>
      </c>
      <c r="E246" s="23" t="str">
        <f aca="false">IF($B246="","",IFERROR(INDEX('Mẫu task'!$D$5:$D$64,MATCH($B246,'Mẫu task'!$A$5:$A$64,0)),""))</f>
        <v/>
      </c>
      <c r="F246" s="23" t="str">
        <f aca="false">IF($B246="","",IFERROR(INDEX('Mẫu task'!$E$5:$E$64,MATCH($B246,'Mẫu task'!$A$5:$A$64,0)),""))</f>
        <v/>
      </c>
      <c r="G246" s="19"/>
      <c r="H246" s="20"/>
      <c r="I246" s="14" t="str">
        <f aca="false">IF($B246="","",IFERROR(INDEX('Mẫu task'!$H$5:$H$64,MATCH($B246,'Mẫu task'!$A$5:$A$64,0)),""))</f>
        <v/>
      </c>
      <c r="J246" s="24" t="str">
        <f aca="false">IF(OR($H246="",$I246=""),"",$H246+$I246)</f>
        <v/>
      </c>
      <c r="K246" s="22"/>
      <c r="L246" s="20"/>
      <c r="M246" s="14" t="str">
        <f aca="true">IF($B246="","",IF($K246="Hoàn thành","Xong",IF($K246="Không áp dụng","—",IF($K246="Bị chặn","Bị chặn",IF($O246=1,"TRỄ "&amp;(TODAY()-$J246)&amp;" ngày",IF(AND($K246="Đang làm",$P246&gt;0),"Bước trước chưa xong",IF(AND($J246&lt;&gt;"",N($J246)-TODAY()&lt;=3),"Sắp đến hạn",IF($K246="Đang làm","Đang làm","Chưa bắt đầu"))))))))</f>
        <v/>
      </c>
      <c r="N246" s="25"/>
      <c r="O246" s="26" t="n">
        <f aca="true">IF(AND($B246&lt;&gt;"",$K246&lt;&gt;"Hoàn thành",$K246&lt;&gt;"Không áp dụng",$J246&lt;&gt;""),IF($J246&lt;TODAY(),1,0),0)</f>
        <v>0</v>
      </c>
      <c r="P246" s="26" t="n">
        <f aca="false">IF(AND($B246&lt;&gt;"",$C246&lt;&gt;"",N($C246)&gt;1),COUNTIFS(Task!$A$5:$A$404,$A246,Task!$C$5:$C$404,N($C246)-1,Task!$K$5:$K$404,"&lt;&gt;Hoàn thành",Task!$K$5:$K$404,"&lt;&gt;Không áp dụng"),0)</f>
        <v>0</v>
      </c>
    </row>
    <row r="247" customFormat="false" ht="15" hidden="false" customHeight="false" outlineLevel="0" collapsed="false">
      <c r="A247" s="19"/>
      <c r="B247" s="22"/>
      <c r="C247" s="14" t="str">
        <f aca="false">IF($B247="","",IFERROR(INDEX('Mẫu task'!$B$5:$B$64,MATCH($B247,'Mẫu task'!$A$5:$A$64,0)),""))</f>
        <v/>
      </c>
      <c r="D247" s="15" t="str">
        <f aca="false">IF($C247="","",IFERROR(INDEX('Quy trình'!$B$5:$B$12,MATCH($C247,'Quy trình'!$A$5:$A$12,0)),""))</f>
        <v/>
      </c>
      <c r="E247" s="23" t="str">
        <f aca="false">IF($B247="","",IFERROR(INDEX('Mẫu task'!$D$5:$D$64,MATCH($B247,'Mẫu task'!$A$5:$A$64,0)),""))</f>
        <v/>
      </c>
      <c r="F247" s="23" t="str">
        <f aca="false">IF($B247="","",IFERROR(INDEX('Mẫu task'!$E$5:$E$64,MATCH($B247,'Mẫu task'!$A$5:$A$64,0)),""))</f>
        <v/>
      </c>
      <c r="G247" s="19"/>
      <c r="H247" s="20"/>
      <c r="I247" s="14" t="str">
        <f aca="false">IF($B247="","",IFERROR(INDEX('Mẫu task'!$H$5:$H$64,MATCH($B247,'Mẫu task'!$A$5:$A$64,0)),""))</f>
        <v/>
      </c>
      <c r="J247" s="24" t="str">
        <f aca="false">IF(OR($H247="",$I247=""),"",$H247+$I247)</f>
        <v/>
      </c>
      <c r="K247" s="22"/>
      <c r="L247" s="20"/>
      <c r="M247" s="14" t="str">
        <f aca="true">IF($B247="","",IF($K247="Hoàn thành","Xong",IF($K247="Không áp dụng","—",IF($K247="Bị chặn","Bị chặn",IF($O247=1,"TRỄ "&amp;(TODAY()-$J247)&amp;" ngày",IF(AND($K247="Đang làm",$P247&gt;0),"Bước trước chưa xong",IF(AND($J247&lt;&gt;"",N($J247)-TODAY()&lt;=3),"Sắp đến hạn",IF($K247="Đang làm","Đang làm","Chưa bắt đầu"))))))))</f>
        <v/>
      </c>
      <c r="N247" s="25"/>
      <c r="O247" s="26" t="n">
        <f aca="true">IF(AND($B247&lt;&gt;"",$K247&lt;&gt;"Hoàn thành",$K247&lt;&gt;"Không áp dụng",$J247&lt;&gt;""),IF($J247&lt;TODAY(),1,0),0)</f>
        <v>0</v>
      </c>
      <c r="P247" s="26" t="n">
        <f aca="false">IF(AND($B247&lt;&gt;"",$C247&lt;&gt;"",N($C247)&gt;1),COUNTIFS(Task!$A$5:$A$404,$A247,Task!$C$5:$C$404,N($C247)-1,Task!$K$5:$K$404,"&lt;&gt;Hoàn thành",Task!$K$5:$K$404,"&lt;&gt;Không áp dụng"),0)</f>
        <v>0</v>
      </c>
    </row>
    <row r="248" customFormat="false" ht="15" hidden="false" customHeight="false" outlineLevel="0" collapsed="false">
      <c r="A248" s="19"/>
      <c r="B248" s="22"/>
      <c r="C248" s="14" t="str">
        <f aca="false">IF($B248="","",IFERROR(INDEX('Mẫu task'!$B$5:$B$64,MATCH($B248,'Mẫu task'!$A$5:$A$64,0)),""))</f>
        <v/>
      </c>
      <c r="D248" s="15" t="str">
        <f aca="false">IF($C248="","",IFERROR(INDEX('Quy trình'!$B$5:$B$12,MATCH($C248,'Quy trình'!$A$5:$A$12,0)),""))</f>
        <v/>
      </c>
      <c r="E248" s="23" t="str">
        <f aca="false">IF($B248="","",IFERROR(INDEX('Mẫu task'!$D$5:$D$64,MATCH($B248,'Mẫu task'!$A$5:$A$64,0)),""))</f>
        <v/>
      </c>
      <c r="F248" s="23" t="str">
        <f aca="false">IF($B248="","",IFERROR(INDEX('Mẫu task'!$E$5:$E$64,MATCH($B248,'Mẫu task'!$A$5:$A$64,0)),""))</f>
        <v/>
      </c>
      <c r="G248" s="19"/>
      <c r="H248" s="20"/>
      <c r="I248" s="14" t="str">
        <f aca="false">IF($B248="","",IFERROR(INDEX('Mẫu task'!$H$5:$H$64,MATCH($B248,'Mẫu task'!$A$5:$A$64,0)),""))</f>
        <v/>
      </c>
      <c r="J248" s="24" t="str">
        <f aca="false">IF(OR($H248="",$I248=""),"",$H248+$I248)</f>
        <v/>
      </c>
      <c r="K248" s="22"/>
      <c r="L248" s="20"/>
      <c r="M248" s="14" t="str">
        <f aca="true">IF($B248="","",IF($K248="Hoàn thành","Xong",IF($K248="Không áp dụng","—",IF($K248="Bị chặn","Bị chặn",IF($O248=1,"TRỄ "&amp;(TODAY()-$J248)&amp;" ngày",IF(AND($K248="Đang làm",$P248&gt;0),"Bước trước chưa xong",IF(AND($J248&lt;&gt;"",N($J248)-TODAY()&lt;=3),"Sắp đến hạn",IF($K248="Đang làm","Đang làm","Chưa bắt đầu"))))))))</f>
        <v/>
      </c>
      <c r="N248" s="25"/>
      <c r="O248" s="26" t="n">
        <f aca="true">IF(AND($B248&lt;&gt;"",$K248&lt;&gt;"Hoàn thành",$K248&lt;&gt;"Không áp dụng",$J248&lt;&gt;""),IF($J248&lt;TODAY(),1,0),0)</f>
        <v>0</v>
      </c>
      <c r="P248" s="26" t="n">
        <f aca="false">IF(AND($B248&lt;&gt;"",$C248&lt;&gt;"",N($C248)&gt;1),COUNTIFS(Task!$A$5:$A$404,$A248,Task!$C$5:$C$404,N($C248)-1,Task!$K$5:$K$404,"&lt;&gt;Hoàn thành",Task!$K$5:$K$404,"&lt;&gt;Không áp dụng"),0)</f>
        <v>0</v>
      </c>
    </row>
    <row r="249" customFormat="false" ht="15" hidden="false" customHeight="false" outlineLevel="0" collapsed="false">
      <c r="A249" s="19"/>
      <c r="B249" s="22"/>
      <c r="C249" s="14" t="str">
        <f aca="false">IF($B249="","",IFERROR(INDEX('Mẫu task'!$B$5:$B$64,MATCH($B249,'Mẫu task'!$A$5:$A$64,0)),""))</f>
        <v/>
      </c>
      <c r="D249" s="15" t="str">
        <f aca="false">IF($C249="","",IFERROR(INDEX('Quy trình'!$B$5:$B$12,MATCH($C249,'Quy trình'!$A$5:$A$12,0)),""))</f>
        <v/>
      </c>
      <c r="E249" s="23" t="str">
        <f aca="false">IF($B249="","",IFERROR(INDEX('Mẫu task'!$D$5:$D$64,MATCH($B249,'Mẫu task'!$A$5:$A$64,0)),""))</f>
        <v/>
      </c>
      <c r="F249" s="23" t="str">
        <f aca="false">IF($B249="","",IFERROR(INDEX('Mẫu task'!$E$5:$E$64,MATCH($B249,'Mẫu task'!$A$5:$A$64,0)),""))</f>
        <v/>
      </c>
      <c r="G249" s="19"/>
      <c r="H249" s="20"/>
      <c r="I249" s="14" t="str">
        <f aca="false">IF($B249="","",IFERROR(INDEX('Mẫu task'!$H$5:$H$64,MATCH($B249,'Mẫu task'!$A$5:$A$64,0)),""))</f>
        <v/>
      </c>
      <c r="J249" s="24" t="str">
        <f aca="false">IF(OR($H249="",$I249=""),"",$H249+$I249)</f>
        <v/>
      </c>
      <c r="K249" s="22"/>
      <c r="L249" s="20"/>
      <c r="M249" s="14" t="str">
        <f aca="true">IF($B249="","",IF($K249="Hoàn thành","Xong",IF($K249="Không áp dụng","—",IF($K249="Bị chặn","Bị chặn",IF($O249=1,"TRỄ "&amp;(TODAY()-$J249)&amp;" ngày",IF(AND($K249="Đang làm",$P249&gt;0),"Bước trước chưa xong",IF(AND($J249&lt;&gt;"",N($J249)-TODAY()&lt;=3),"Sắp đến hạn",IF($K249="Đang làm","Đang làm","Chưa bắt đầu"))))))))</f>
        <v/>
      </c>
      <c r="N249" s="25"/>
      <c r="O249" s="26" t="n">
        <f aca="true">IF(AND($B249&lt;&gt;"",$K249&lt;&gt;"Hoàn thành",$K249&lt;&gt;"Không áp dụng",$J249&lt;&gt;""),IF($J249&lt;TODAY(),1,0),0)</f>
        <v>0</v>
      </c>
      <c r="P249" s="26" t="n">
        <f aca="false">IF(AND($B249&lt;&gt;"",$C249&lt;&gt;"",N($C249)&gt;1),COUNTIFS(Task!$A$5:$A$404,$A249,Task!$C$5:$C$404,N($C249)-1,Task!$K$5:$K$404,"&lt;&gt;Hoàn thành",Task!$K$5:$K$404,"&lt;&gt;Không áp dụng"),0)</f>
        <v>0</v>
      </c>
    </row>
    <row r="250" customFormat="false" ht="15" hidden="false" customHeight="false" outlineLevel="0" collapsed="false">
      <c r="A250" s="19"/>
      <c r="B250" s="22"/>
      <c r="C250" s="14" t="str">
        <f aca="false">IF($B250="","",IFERROR(INDEX('Mẫu task'!$B$5:$B$64,MATCH($B250,'Mẫu task'!$A$5:$A$64,0)),""))</f>
        <v/>
      </c>
      <c r="D250" s="15" t="str">
        <f aca="false">IF($C250="","",IFERROR(INDEX('Quy trình'!$B$5:$B$12,MATCH($C250,'Quy trình'!$A$5:$A$12,0)),""))</f>
        <v/>
      </c>
      <c r="E250" s="23" t="str">
        <f aca="false">IF($B250="","",IFERROR(INDEX('Mẫu task'!$D$5:$D$64,MATCH($B250,'Mẫu task'!$A$5:$A$64,0)),""))</f>
        <v/>
      </c>
      <c r="F250" s="23" t="str">
        <f aca="false">IF($B250="","",IFERROR(INDEX('Mẫu task'!$E$5:$E$64,MATCH($B250,'Mẫu task'!$A$5:$A$64,0)),""))</f>
        <v/>
      </c>
      <c r="G250" s="19"/>
      <c r="H250" s="20"/>
      <c r="I250" s="14" t="str">
        <f aca="false">IF($B250="","",IFERROR(INDEX('Mẫu task'!$H$5:$H$64,MATCH($B250,'Mẫu task'!$A$5:$A$64,0)),""))</f>
        <v/>
      </c>
      <c r="J250" s="24" t="str">
        <f aca="false">IF(OR($H250="",$I250=""),"",$H250+$I250)</f>
        <v/>
      </c>
      <c r="K250" s="22"/>
      <c r="L250" s="20"/>
      <c r="M250" s="14" t="str">
        <f aca="true">IF($B250="","",IF($K250="Hoàn thành","Xong",IF($K250="Không áp dụng","—",IF($K250="Bị chặn","Bị chặn",IF($O250=1,"TRỄ "&amp;(TODAY()-$J250)&amp;" ngày",IF(AND($K250="Đang làm",$P250&gt;0),"Bước trước chưa xong",IF(AND($J250&lt;&gt;"",N($J250)-TODAY()&lt;=3),"Sắp đến hạn",IF($K250="Đang làm","Đang làm","Chưa bắt đầu"))))))))</f>
        <v/>
      </c>
      <c r="N250" s="25"/>
      <c r="O250" s="26" t="n">
        <f aca="true">IF(AND($B250&lt;&gt;"",$K250&lt;&gt;"Hoàn thành",$K250&lt;&gt;"Không áp dụng",$J250&lt;&gt;""),IF($J250&lt;TODAY(),1,0),0)</f>
        <v>0</v>
      </c>
      <c r="P250" s="26" t="n">
        <f aca="false">IF(AND($B250&lt;&gt;"",$C250&lt;&gt;"",N($C250)&gt;1),COUNTIFS(Task!$A$5:$A$404,$A250,Task!$C$5:$C$404,N($C250)-1,Task!$K$5:$K$404,"&lt;&gt;Hoàn thành",Task!$K$5:$K$404,"&lt;&gt;Không áp dụng"),0)</f>
        <v>0</v>
      </c>
    </row>
    <row r="251" customFormat="false" ht="15" hidden="false" customHeight="false" outlineLevel="0" collapsed="false">
      <c r="A251" s="19"/>
      <c r="B251" s="22"/>
      <c r="C251" s="14" t="str">
        <f aca="false">IF($B251="","",IFERROR(INDEX('Mẫu task'!$B$5:$B$64,MATCH($B251,'Mẫu task'!$A$5:$A$64,0)),""))</f>
        <v/>
      </c>
      <c r="D251" s="15" t="str">
        <f aca="false">IF($C251="","",IFERROR(INDEX('Quy trình'!$B$5:$B$12,MATCH($C251,'Quy trình'!$A$5:$A$12,0)),""))</f>
        <v/>
      </c>
      <c r="E251" s="23" t="str">
        <f aca="false">IF($B251="","",IFERROR(INDEX('Mẫu task'!$D$5:$D$64,MATCH($B251,'Mẫu task'!$A$5:$A$64,0)),""))</f>
        <v/>
      </c>
      <c r="F251" s="23" t="str">
        <f aca="false">IF($B251="","",IFERROR(INDEX('Mẫu task'!$E$5:$E$64,MATCH($B251,'Mẫu task'!$A$5:$A$64,0)),""))</f>
        <v/>
      </c>
      <c r="G251" s="19"/>
      <c r="H251" s="20"/>
      <c r="I251" s="14" t="str">
        <f aca="false">IF($B251="","",IFERROR(INDEX('Mẫu task'!$H$5:$H$64,MATCH($B251,'Mẫu task'!$A$5:$A$64,0)),""))</f>
        <v/>
      </c>
      <c r="J251" s="24" t="str">
        <f aca="false">IF(OR($H251="",$I251=""),"",$H251+$I251)</f>
        <v/>
      </c>
      <c r="K251" s="22"/>
      <c r="L251" s="20"/>
      <c r="M251" s="14" t="str">
        <f aca="true">IF($B251="","",IF($K251="Hoàn thành","Xong",IF($K251="Không áp dụng","—",IF($K251="Bị chặn","Bị chặn",IF($O251=1,"TRỄ "&amp;(TODAY()-$J251)&amp;" ngày",IF(AND($K251="Đang làm",$P251&gt;0),"Bước trước chưa xong",IF(AND($J251&lt;&gt;"",N($J251)-TODAY()&lt;=3),"Sắp đến hạn",IF($K251="Đang làm","Đang làm","Chưa bắt đầu"))))))))</f>
        <v/>
      </c>
      <c r="N251" s="25"/>
      <c r="O251" s="26" t="n">
        <f aca="true">IF(AND($B251&lt;&gt;"",$K251&lt;&gt;"Hoàn thành",$K251&lt;&gt;"Không áp dụng",$J251&lt;&gt;""),IF($J251&lt;TODAY(),1,0),0)</f>
        <v>0</v>
      </c>
      <c r="P251" s="26" t="n">
        <f aca="false">IF(AND($B251&lt;&gt;"",$C251&lt;&gt;"",N($C251)&gt;1),COUNTIFS(Task!$A$5:$A$404,$A251,Task!$C$5:$C$404,N($C251)-1,Task!$K$5:$K$404,"&lt;&gt;Hoàn thành",Task!$K$5:$K$404,"&lt;&gt;Không áp dụng"),0)</f>
        <v>0</v>
      </c>
    </row>
    <row r="252" customFormat="false" ht="15" hidden="false" customHeight="false" outlineLevel="0" collapsed="false">
      <c r="A252" s="19"/>
      <c r="B252" s="22"/>
      <c r="C252" s="14" t="str">
        <f aca="false">IF($B252="","",IFERROR(INDEX('Mẫu task'!$B$5:$B$64,MATCH($B252,'Mẫu task'!$A$5:$A$64,0)),""))</f>
        <v/>
      </c>
      <c r="D252" s="15" t="str">
        <f aca="false">IF($C252="","",IFERROR(INDEX('Quy trình'!$B$5:$B$12,MATCH($C252,'Quy trình'!$A$5:$A$12,0)),""))</f>
        <v/>
      </c>
      <c r="E252" s="23" t="str">
        <f aca="false">IF($B252="","",IFERROR(INDEX('Mẫu task'!$D$5:$D$64,MATCH($B252,'Mẫu task'!$A$5:$A$64,0)),""))</f>
        <v/>
      </c>
      <c r="F252" s="23" t="str">
        <f aca="false">IF($B252="","",IFERROR(INDEX('Mẫu task'!$E$5:$E$64,MATCH($B252,'Mẫu task'!$A$5:$A$64,0)),""))</f>
        <v/>
      </c>
      <c r="G252" s="19"/>
      <c r="H252" s="20"/>
      <c r="I252" s="14" t="str">
        <f aca="false">IF($B252="","",IFERROR(INDEX('Mẫu task'!$H$5:$H$64,MATCH($B252,'Mẫu task'!$A$5:$A$64,0)),""))</f>
        <v/>
      </c>
      <c r="J252" s="24" t="str">
        <f aca="false">IF(OR($H252="",$I252=""),"",$H252+$I252)</f>
        <v/>
      </c>
      <c r="K252" s="22"/>
      <c r="L252" s="20"/>
      <c r="M252" s="14" t="str">
        <f aca="true">IF($B252="","",IF($K252="Hoàn thành","Xong",IF($K252="Không áp dụng","—",IF($K252="Bị chặn","Bị chặn",IF($O252=1,"TRỄ "&amp;(TODAY()-$J252)&amp;" ngày",IF(AND($K252="Đang làm",$P252&gt;0),"Bước trước chưa xong",IF(AND($J252&lt;&gt;"",N($J252)-TODAY()&lt;=3),"Sắp đến hạn",IF($K252="Đang làm","Đang làm","Chưa bắt đầu"))))))))</f>
        <v/>
      </c>
      <c r="N252" s="25"/>
      <c r="O252" s="26" t="n">
        <f aca="true">IF(AND($B252&lt;&gt;"",$K252&lt;&gt;"Hoàn thành",$K252&lt;&gt;"Không áp dụng",$J252&lt;&gt;""),IF($J252&lt;TODAY(),1,0),0)</f>
        <v>0</v>
      </c>
      <c r="P252" s="26" t="n">
        <f aca="false">IF(AND($B252&lt;&gt;"",$C252&lt;&gt;"",N($C252)&gt;1),COUNTIFS(Task!$A$5:$A$404,$A252,Task!$C$5:$C$404,N($C252)-1,Task!$K$5:$K$404,"&lt;&gt;Hoàn thành",Task!$K$5:$K$404,"&lt;&gt;Không áp dụng"),0)</f>
        <v>0</v>
      </c>
    </row>
    <row r="253" customFormat="false" ht="15" hidden="false" customHeight="false" outlineLevel="0" collapsed="false">
      <c r="A253" s="19"/>
      <c r="B253" s="22"/>
      <c r="C253" s="14" t="str">
        <f aca="false">IF($B253="","",IFERROR(INDEX('Mẫu task'!$B$5:$B$64,MATCH($B253,'Mẫu task'!$A$5:$A$64,0)),""))</f>
        <v/>
      </c>
      <c r="D253" s="15" t="str">
        <f aca="false">IF($C253="","",IFERROR(INDEX('Quy trình'!$B$5:$B$12,MATCH($C253,'Quy trình'!$A$5:$A$12,0)),""))</f>
        <v/>
      </c>
      <c r="E253" s="23" t="str">
        <f aca="false">IF($B253="","",IFERROR(INDEX('Mẫu task'!$D$5:$D$64,MATCH($B253,'Mẫu task'!$A$5:$A$64,0)),""))</f>
        <v/>
      </c>
      <c r="F253" s="23" t="str">
        <f aca="false">IF($B253="","",IFERROR(INDEX('Mẫu task'!$E$5:$E$64,MATCH($B253,'Mẫu task'!$A$5:$A$64,0)),""))</f>
        <v/>
      </c>
      <c r="G253" s="19"/>
      <c r="H253" s="20"/>
      <c r="I253" s="14" t="str">
        <f aca="false">IF($B253="","",IFERROR(INDEX('Mẫu task'!$H$5:$H$64,MATCH($B253,'Mẫu task'!$A$5:$A$64,0)),""))</f>
        <v/>
      </c>
      <c r="J253" s="24" t="str">
        <f aca="false">IF(OR($H253="",$I253=""),"",$H253+$I253)</f>
        <v/>
      </c>
      <c r="K253" s="22"/>
      <c r="L253" s="20"/>
      <c r="M253" s="14" t="str">
        <f aca="true">IF($B253="","",IF($K253="Hoàn thành","Xong",IF($K253="Không áp dụng","—",IF($K253="Bị chặn","Bị chặn",IF($O253=1,"TRỄ "&amp;(TODAY()-$J253)&amp;" ngày",IF(AND($K253="Đang làm",$P253&gt;0),"Bước trước chưa xong",IF(AND($J253&lt;&gt;"",N($J253)-TODAY()&lt;=3),"Sắp đến hạn",IF($K253="Đang làm","Đang làm","Chưa bắt đầu"))))))))</f>
        <v/>
      </c>
      <c r="N253" s="25"/>
      <c r="O253" s="26" t="n">
        <f aca="true">IF(AND($B253&lt;&gt;"",$K253&lt;&gt;"Hoàn thành",$K253&lt;&gt;"Không áp dụng",$J253&lt;&gt;""),IF($J253&lt;TODAY(),1,0),0)</f>
        <v>0</v>
      </c>
      <c r="P253" s="26" t="n">
        <f aca="false">IF(AND($B253&lt;&gt;"",$C253&lt;&gt;"",N($C253)&gt;1),COUNTIFS(Task!$A$5:$A$404,$A253,Task!$C$5:$C$404,N($C253)-1,Task!$K$5:$K$404,"&lt;&gt;Hoàn thành",Task!$K$5:$K$404,"&lt;&gt;Không áp dụng"),0)</f>
        <v>0</v>
      </c>
    </row>
    <row r="254" customFormat="false" ht="15" hidden="false" customHeight="false" outlineLevel="0" collapsed="false">
      <c r="A254" s="19"/>
      <c r="B254" s="22"/>
      <c r="C254" s="14" t="str">
        <f aca="false">IF($B254="","",IFERROR(INDEX('Mẫu task'!$B$5:$B$64,MATCH($B254,'Mẫu task'!$A$5:$A$64,0)),""))</f>
        <v/>
      </c>
      <c r="D254" s="15" t="str">
        <f aca="false">IF($C254="","",IFERROR(INDEX('Quy trình'!$B$5:$B$12,MATCH($C254,'Quy trình'!$A$5:$A$12,0)),""))</f>
        <v/>
      </c>
      <c r="E254" s="23" t="str">
        <f aca="false">IF($B254="","",IFERROR(INDEX('Mẫu task'!$D$5:$D$64,MATCH($B254,'Mẫu task'!$A$5:$A$64,0)),""))</f>
        <v/>
      </c>
      <c r="F254" s="23" t="str">
        <f aca="false">IF($B254="","",IFERROR(INDEX('Mẫu task'!$E$5:$E$64,MATCH($B254,'Mẫu task'!$A$5:$A$64,0)),""))</f>
        <v/>
      </c>
      <c r="G254" s="19"/>
      <c r="H254" s="20"/>
      <c r="I254" s="14" t="str">
        <f aca="false">IF($B254="","",IFERROR(INDEX('Mẫu task'!$H$5:$H$64,MATCH($B254,'Mẫu task'!$A$5:$A$64,0)),""))</f>
        <v/>
      </c>
      <c r="J254" s="24" t="str">
        <f aca="false">IF(OR($H254="",$I254=""),"",$H254+$I254)</f>
        <v/>
      </c>
      <c r="K254" s="22"/>
      <c r="L254" s="20"/>
      <c r="M254" s="14" t="str">
        <f aca="true">IF($B254="","",IF($K254="Hoàn thành","Xong",IF($K254="Không áp dụng","—",IF($K254="Bị chặn","Bị chặn",IF($O254=1,"TRỄ "&amp;(TODAY()-$J254)&amp;" ngày",IF(AND($K254="Đang làm",$P254&gt;0),"Bước trước chưa xong",IF(AND($J254&lt;&gt;"",N($J254)-TODAY()&lt;=3),"Sắp đến hạn",IF($K254="Đang làm","Đang làm","Chưa bắt đầu"))))))))</f>
        <v/>
      </c>
      <c r="N254" s="25"/>
      <c r="O254" s="26" t="n">
        <f aca="true">IF(AND($B254&lt;&gt;"",$K254&lt;&gt;"Hoàn thành",$K254&lt;&gt;"Không áp dụng",$J254&lt;&gt;""),IF($J254&lt;TODAY(),1,0),0)</f>
        <v>0</v>
      </c>
      <c r="P254" s="26" t="n">
        <f aca="false">IF(AND($B254&lt;&gt;"",$C254&lt;&gt;"",N($C254)&gt;1),COUNTIFS(Task!$A$5:$A$404,$A254,Task!$C$5:$C$404,N($C254)-1,Task!$K$5:$K$404,"&lt;&gt;Hoàn thành",Task!$K$5:$K$404,"&lt;&gt;Không áp dụng"),0)</f>
        <v>0</v>
      </c>
    </row>
    <row r="255" customFormat="false" ht="15" hidden="false" customHeight="false" outlineLevel="0" collapsed="false">
      <c r="A255" s="19"/>
      <c r="B255" s="22"/>
      <c r="C255" s="14" t="str">
        <f aca="false">IF($B255="","",IFERROR(INDEX('Mẫu task'!$B$5:$B$64,MATCH($B255,'Mẫu task'!$A$5:$A$64,0)),""))</f>
        <v/>
      </c>
      <c r="D255" s="15" t="str">
        <f aca="false">IF($C255="","",IFERROR(INDEX('Quy trình'!$B$5:$B$12,MATCH($C255,'Quy trình'!$A$5:$A$12,0)),""))</f>
        <v/>
      </c>
      <c r="E255" s="23" t="str">
        <f aca="false">IF($B255="","",IFERROR(INDEX('Mẫu task'!$D$5:$D$64,MATCH($B255,'Mẫu task'!$A$5:$A$64,0)),""))</f>
        <v/>
      </c>
      <c r="F255" s="23" t="str">
        <f aca="false">IF($B255="","",IFERROR(INDEX('Mẫu task'!$E$5:$E$64,MATCH($B255,'Mẫu task'!$A$5:$A$64,0)),""))</f>
        <v/>
      </c>
      <c r="G255" s="19"/>
      <c r="H255" s="20"/>
      <c r="I255" s="14" t="str">
        <f aca="false">IF($B255="","",IFERROR(INDEX('Mẫu task'!$H$5:$H$64,MATCH($B255,'Mẫu task'!$A$5:$A$64,0)),""))</f>
        <v/>
      </c>
      <c r="J255" s="24" t="str">
        <f aca="false">IF(OR($H255="",$I255=""),"",$H255+$I255)</f>
        <v/>
      </c>
      <c r="K255" s="22"/>
      <c r="L255" s="20"/>
      <c r="M255" s="14" t="str">
        <f aca="true">IF($B255="","",IF($K255="Hoàn thành","Xong",IF($K255="Không áp dụng","—",IF($K255="Bị chặn","Bị chặn",IF($O255=1,"TRỄ "&amp;(TODAY()-$J255)&amp;" ngày",IF(AND($K255="Đang làm",$P255&gt;0),"Bước trước chưa xong",IF(AND($J255&lt;&gt;"",N($J255)-TODAY()&lt;=3),"Sắp đến hạn",IF($K255="Đang làm","Đang làm","Chưa bắt đầu"))))))))</f>
        <v/>
      </c>
      <c r="N255" s="25"/>
      <c r="O255" s="26" t="n">
        <f aca="true">IF(AND($B255&lt;&gt;"",$K255&lt;&gt;"Hoàn thành",$K255&lt;&gt;"Không áp dụng",$J255&lt;&gt;""),IF($J255&lt;TODAY(),1,0),0)</f>
        <v>0</v>
      </c>
      <c r="P255" s="26" t="n">
        <f aca="false">IF(AND($B255&lt;&gt;"",$C255&lt;&gt;"",N($C255)&gt;1),COUNTIFS(Task!$A$5:$A$404,$A255,Task!$C$5:$C$404,N($C255)-1,Task!$K$5:$K$404,"&lt;&gt;Hoàn thành",Task!$K$5:$K$404,"&lt;&gt;Không áp dụng"),0)</f>
        <v>0</v>
      </c>
    </row>
    <row r="256" customFormat="false" ht="15" hidden="false" customHeight="false" outlineLevel="0" collapsed="false">
      <c r="A256" s="19"/>
      <c r="B256" s="22"/>
      <c r="C256" s="14" t="str">
        <f aca="false">IF($B256="","",IFERROR(INDEX('Mẫu task'!$B$5:$B$64,MATCH($B256,'Mẫu task'!$A$5:$A$64,0)),""))</f>
        <v/>
      </c>
      <c r="D256" s="15" t="str">
        <f aca="false">IF($C256="","",IFERROR(INDEX('Quy trình'!$B$5:$B$12,MATCH($C256,'Quy trình'!$A$5:$A$12,0)),""))</f>
        <v/>
      </c>
      <c r="E256" s="23" t="str">
        <f aca="false">IF($B256="","",IFERROR(INDEX('Mẫu task'!$D$5:$D$64,MATCH($B256,'Mẫu task'!$A$5:$A$64,0)),""))</f>
        <v/>
      </c>
      <c r="F256" s="23" t="str">
        <f aca="false">IF($B256="","",IFERROR(INDEX('Mẫu task'!$E$5:$E$64,MATCH($B256,'Mẫu task'!$A$5:$A$64,0)),""))</f>
        <v/>
      </c>
      <c r="G256" s="19"/>
      <c r="H256" s="20"/>
      <c r="I256" s="14" t="str">
        <f aca="false">IF($B256="","",IFERROR(INDEX('Mẫu task'!$H$5:$H$64,MATCH($B256,'Mẫu task'!$A$5:$A$64,0)),""))</f>
        <v/>
      </c>
      <c r="J256" s="24" t="str">
        <f aca="false">IF(OR($H256="",$I256=""),"",$H256+$I256)</f>
        <v/>
      </c>
      <c r="K256" s="22"/>
      <c r="L256" s="20"/>
      <c r="M256" s="14" t="str">
        <f aca="true">IF($B256="","",IF($K256="Hoàn thành","Xong",IF($K256="Không áp dụng","—",IF($K256="Bị chặn","Bị chặn",IF($O256=1,"TRỄ "&amp;(TODAY()-$J256)&amp;" ngày",IF(AND($K256="Đang làm",$P256&gt;0),"Bước trước chưa xong",IF(AND($J256&lt;&gt;"",N($J256)-TODAY()&lt;=3),"Sắp đến hạn",IF($K256="Đang làm","Đang làm","Chưa bắt đầu"))))))))</f>
        <v/>
      </c>
      <c r="N256" s="25"/>
      <c r="O256" s="26" t="n">
        <f aca="true">IF(AND($B256&lt;&gt;"",$K256&lt;&gt;"Hoàn thành",$K256&lt;&gt;"Không áp dụng",$J256&lt;&gt;""),IF($J256&lt;TODAY(),1,0),0)</f>
        <v>0</v>
      </c>
      <c r="P256" s="26" t="n">
        <f aca="false">IF(AND($B256&lt;&gt;"",$C256&lt;&gt;"",N($C256)&gt;1),COUNTIFS(Task!$A$5:$A$404,$A256,Task!$C$5:$C$404,N($C256)-1,Task!$K$5:$K$404,"&lt;&gt;Hoàn thành",Task!$K$5:$K$404,"&lt;&gt;Không áp dụng"),0)</f>
        <v>0</v>
      </c>
    </row>
    <row r="257" customFormat="false" ht="15" hidden="false" customHeight="false" outlineLevel="0" collapsed="false">
      <c r="A257" s="19"/>
      <c r="B257" s="22"/>
      <c r="C257" s="14" t="str">
        <f aca="false">IF($B257="","",IFERROR(INDEX('Mẫu task'!$B$5:$B$64,MATCH($B257,'Mẫu task'!$A$5:$A$64,0)),""))</f>
        <v/>
      </c>
      <c r="D257" s="15" t="str">
        <f aca="false">IF($C257="","",IFERROR(INDEX('Quy trình'!$B$5:$B$12,MATCH($C257,'Quy trình'!$A$5:$A$12,0)),""))</f>
        <v/>
      </c>
      <c r="E257" s="23" t="str">
        <f aca="false">IF($B257="","",IFERROR(INDEX('Mẫu task'!$D$5:$D$64,MATCH($B257,'Mẫu task'!$A$5:$A$64,0)),""))</f>
        <v/>
      </c>
      <c r="F257" s="23" t="str">
        <f aca="false">IF($B257="","",IFERROR(INDEX('Mẫu task'!$E$5:$E$64,MATCH($B257,'Mẫu task'!$A$5:$A$64,0)),""))</f>
        <v/>
      </c>
      <c r="G257" s="19"/>
      <c r="H257" s="20"/>
      <c r="I257" s="14" t="str">
        <f aca="false">IF($B257="","",IFERROR(INDEX('Mẫu task'!$H$5:$H$64,MATCH($B257,'Mẫu task'!$A$5:$A$64,0)),""))</f>
        <v/>
      </c>
      <c r="J257" s="24" t="str">
        <f aca="false">IF(OR($H257="",$I257=""),"",$H257+$I257)</f>
        <v/>
      </c>
      <c r="K257" s="22"/>
      <c r="L257" s="20"/>
      <c r="M257" s="14" t="str">
        <f aca="true">IF($B257="","",IF($K257="Hoàn thành","Xong",IF($K257="Không áp dụng","—",IF($K257="Bị chặn","Bị chặn",IF($O257=1,"TRỄ "&amp;(TODAY()-$J257)&amp;" ngày",IF(AND($K257="Đang làm",$P257&gt;0),"Bước trước chưa xong",IF(AND($J257&lt;&gt;"",N($J257)-TODAY()&lt;=3),"Sắp đến hạn",IF($K257="Đang làm","Đang làm","Chưa bắt đầu"))))))))</f>
        <v/>
      </c>
      <c r="N257" s="25"/>
      <c r="O257" s="26" t="n">
        <f aca="true">IF(AND($B257&lt;&gt;"",$K257&lt;&gt;"Hoàn thành",$K257&lt;&gt;"Không áp dụng",$J257&lt;&gt;""),IF($J257&lt;TODAY(),1,0),0)</f>
        <v>0</v>
      </c>
      <c r="P257" s="26" t="n">
        <f aca="false">IF(AND($B257&lt;&gt;"",$C257&lt;&gt;"",N($C257)&gt;1),COUNTIFS(Task!$A$5:$A$404,$A257,Task!$C$5:$C$404,N($C257)-1,Task!$K$5:$K$404,"&lt;&gt;Hoàn thành",Task!$K$5:$K$404,"&lt;&gt;Không áp dụng"),0)</f>
        <v>0</v>
      </c>
    </row>
    <row r="258" customFormat="false" ht="15" hidden="false" customHeight="false" outlineLevel="0" collapsed="false">
      <c r="A258" s="19"/>
      <c r="B258" s="22"/>
      <c r="C258" s="14" t="str">
        <f aca="false">IF($B258="","",IFERROR(INDEX('Mẫu task'!$B$5:$B$64,MATCH($B258,'Mẫu task'!$A$5:$A$64,0)),""))</f>
        <v/>
      </c>
      <c r="D258" s="15" t="str">
        <f aca="false">IF($C258="","",IFERROR(INDEX('Quy trình'!$B$5:$B$12,MATCH($C258,'Quy trình'!$A$5:$A$12,0)),""))</f>
        <v/>
      </c>
      <c r="E258" s="23" t="str">
        <f aca="false">IF($B258="","",IFERROR(INDEX('Mẫu task'!$D$5:$D$64,MATCH($B258,'Mẫu task'!$A$5:$A$64,0)),""))</f>
        <v/>
      </c>
      <c r="F258" s="23" t="str">
        <f aca="false">IF($B258="","",IFERROR(INDEX('Mẫu task'!$E$5:$E$64,MATCH($B258,'Mẫu task'!$A$5:$A$64,0)),""))</f>
        <v/>
      </c>
      <c r="G258" s="19"/>
      <c r="H258" s="20"/>
      <c r="I258" s="14" t="str">
        <f aca="false">IF($B258="","",IFERROR(INDEX('Mẫu task'!$H$5:$H$64,MATCH($B258,'Mẫu task'!$A$5:$A$64,0)),""))</f>
        <v/>
      </c>
      <c r="J258" s="24" t="str">
        <f aca="false">IF(OR($H258="",$I258=""),"",$H258+$I258)</f>
        <v/>
      </c>
      <c r="K258" s="22"/>
      <c r="L258" s="20"/>
      <c r="M258" s="14" t="str">
        <f aca="true">IF($B258="","",IF($K258="Hoàn thành","Xong",IF($K258="Không áp dụng","—",IF($K258="Bị chặn","Bị chặn",IF($O258=1,"TRỄ "&amp;(TODAY()-$J258)&amp;" ngày",IF(AND($K258="Đang làm",$P258&gt;0),"Bước trước chưa xong",IF(AND($J258&lt;&gt;"",N($J258)-TODAY()&lt;=3),"Sắp đến hạn",IF($K258="Đang làm","Đang làm","Chưa bắt đầu"))))))))</f>
        <v/>
      </c>
      <c r="N258" s="25"/>
      <c r="O258" s="26" t="n">
        <f aca="true">IF(AND($B258&lt;&gt;"",$K258&lt;&gt;"Hoàn thành",$K258&lt;&gt;"Không áp dụng",$J258&lt;&gt;""),IF($J258&lt;TODAY(),1,0),0)</f>
        <v>0</v>
      </c>
      <c r="P258" s="26" t="n">
        <f aca="false">IF(AND($B258&lt;&gt;"",$C258&lt;&gt;"",N($C258)&gt;1),COUNTIFS(Task!$A$5:$A$404,$A258,Task!$C$5:$C$404,N($C258)-1,Task!$K$5:$K$404,"&lt;&gt;Hoàn thành",Task!$K$5:$K$404,"&lt;&gt;Không áp dụng"),0)</f>
        <v>0</v>
      </c>
    </row>
    <row r="259" customFormat="false" ht="15" hidden="false" customHeight="false" outlineLevel="0" collapsed="false">
      <c r="A259" s="19"/>
      <c r="B259" s="22"/>
      <c r="C259" s="14" t="str">
        <f aca="false">IF($B259="","",IFERROR(INDEX('Mẫu task'!$B$5:$B$64,MATCH($B259,'Mẫu task'!$A$5:$A$64,0)),""))</f>
        <v/>
      </c>
      <c r="D259" s="15" t="str">
        <f aca="false">IF($C259="","",IFERROR(INDEX('Quy trình'!$B$5:$B$12,MATCH($C259,'Quy trình'!$A$5:$A$12,0)),""))</f>
        <v/>
      </c>
      <c r="E259" s="23" t="str">
        <f aca="false">IF($B259="","",IFERROR(INDEX('Mẫu task'!$D$5:$D$64,MATCH($B259,'Mẫu task'!$A$5:$A$64,0)),""))</f>
        <v/>
      </c>
      <c r="F259" s="23" t="str">
        <f aca="false">IF($B259="","",IFERROR(INDEX('Mẫu task'!$E$5:$E$64,MATCH($B259,'Mẫu task'!$A$5:$A$64,0)),""))</f>
        <v/>
      </c>
      <c r="G259" s="19"/>
      <c r="H259" s="20"/>
      <c r="I259" s="14" t="str">
        <f aca="false">IF($B259="","",IFERROR(INDEX('Mẫu task'!$H$5:$H$64,MATCH($B259,'Mẫu task'!$A$5:$A$64,0)),""))</f>
        <v/>
      </c>
      <c r="J259" s="24" t="str">
        <f aca="false">IF(OR($H259="",$I259=""),"",$H259+$I259)</f>
        <v/>
      </c>
      <c r="K259" s="22"/>
      <c r="L259" s="20"/>
      <c r="M259" s="14" t="str">
        <f aca="true">IF($B259="","",IF($K259="Hoàn thành","Xong",IF($K259="Không áp dụng","—",IF($K259="Bị chặn","Bị chặn",IF($O259=1,"TRỄ "&amp;(TODAY()-$J259)&amp;" ngày",IF(AND($K259="Đang làm",$P259&gt;0),"Bước trước chưa xong",IF(AND($J259&lt;&gt;"",N($J259)-TODAY()&lt;=3),"Sắp đến hạn",IF($K259="Đang làm","Đang làm","Chưa bắt đầu"))))))))</f>
        <v/>
      </c>
      <c r="N259" s="25"/>
      <c r="O259" s="26" t="n">
        <f aca="true">IF(AND($B259&lt;&gt;"",$K259&lt;&gt;"Hoàn thành",$K259&lt;&gt;"Không áp dụng",$J259&lt;&gt;""),IF($J259&lt;TODAY(),1,0),0)</f>
        <v>0</v>
      </c>
      <c r="P259" s="26" t="n">
        <f aca="false">IF(AND($B259&lt;&gt;"",$C259&lt;&gt;"",N($C259)&gt;1),COUNTIFS(Task!$A$5:$A$404,$A259,Task!$C$5:$C$404,N($C259)-1,Task!$K$5:$K$404,"&lt;&gt;Hoàn thành",Task!$K$5:$K$404,"&lt;&gt;Không áp dụng"),0)</f>
        <v>0</v>
      </c>
    </row>
    <row r="260" customFormat="false" ht="15" hidden="false" customHeight="false" outlineLevel="0" collapsed="false">
      <c r="A260" s="19"/>
      <c r="B260" s="22"/>
      <c r="C260" s="14" t="str">
        <f aca="false">IF($B260="","",IFERROR(INDEX('Mẫu task'!$B$5:$B$64,MATCH($B260,'Mẫu task'!$A$5:$A$64,0)),""))</f>
        <v/>
      </c>
      <c r="D260" s="15" t="str">
        <f aca="false">IF($C260="","",IFERROR(INDEX('Quy trình'!$B$5:$B$12,MATCH($C260,'Quy trình'!$A$5:$A$12,0)),""))</f>
        <v/>
      </c>
      <c r="E260" s="23" t="str">
        <f aca="false">IF($B260="","",IFERROR(INDEX('Mẫu task'!$D$5:$D$64,MATCH($B260,'Mẫu task'!$A$5:$A$64,0)),""))</f>
        <v/>
      </c>
      <c r="F260" s="23" t="str">
        <f aca="false">IF($B260="","",IFERROR(INDEX('Mẫu task'!$E$5:$E$64,MATCH($B260,'Mẫu task'!$A$5:$A$64,0)),""))</f>
        <v/>
      </c>
      <c r="G260" s="19"/>
      <c r="H260" s="20"/>
      <c r="I260" s="14" t="str">
        <f aca="false">IF($B260="","",IFERROR(INDEX('Mẫu task'!$H$5:$H$64,MATCH($B260,'Mẫu task'!$A$5:$A$64,0)),""))</f>
        <v/>
      </c>
      <c r="J260" s="24" t="str">
        <f aca="false">IF(OR($H260="",$I260=""),"",$H260+$I260)</f>
        <v/>
      </c>
      <c r="K260" s="22"/>
      <c r="L260" s="20"/>
      <c r="M260" s="14" t="str">
        <f aca="true">IF($B260="","",IF($K260="Hoàn thành","Xong",IF($K260="Không áp dụng","—",IF($K260="Bị chặn","Bị chặn",IF($O260=1,"TRỄ "&amp;(TODAY()-$J260)&amp;" ngày",IF(AND($K260="Đang làm",$P260&gt;0),"Bước trước chưa xong",IF(AND($J260&lt;&gt;"",N($J260)-TODAY()&lt;=3),"Sắp đến hạn",IF($K260="Đang làm","Đang làm","Chưa bắt đầu"))))))))</f>
        <v/>
      </c>
      <c r="N260" s="25"/>
      <c r="O260" s="26" t="n">
        <f aca="true">IF(AND($B260&lt;&gt;"",$K260&lt;&gt;"Hoàn thành",$K260&lt;&gt;"Không áp dụng",$J260&lt;&gt;""),IF($J260&lt;TODAY(),1,0),0)</f>
        <v>0</v>
      </c>
      <c r="P260" s="26" t="n">
        <f aca="false">IF(AND($B260&lt;&gt;"",$C260&lt;&gt;"",N($C260)&gt;1),COUNTIFS(Task!$A$5:$A$404,$A260,Task!$C$5:$C$404,N($C260)-1,Task!$K$5:$K$404,"&lt;&gt;Hoàn thành",Task!$K$5:$K$404,"&lt;&gt;Không áp dụng"),0)</f>
        <v>0</v>
      </c>
    </row>
    <row r="261" customFormat="false" ht="15" hidden="false" customHeight="false" outlineLevel="0" collapsed="false">
      <c r="A261" s="19"/>
      <c r="B261" s="22"/>
      <c r="C261" s="14" t="str">
        <f aca="false">IF($B261="","",IFERROR(INDEX('Mẫu task'!$B$5:$B$64,MATCH($B261,'Mẫu task'!$A$5:$A$64,0)),""))</f>
        <v/>
      </c>
      <c r="D261" s="15" t="str">
        <f aca="false">IF($C261="","",IFERROR(INDEX('Quy trình'!$B$5:$B$12,MATCH($C261,'Quy trình'!$A$5:$A$12,0)),""))</f>
        <v/>
      </c>
      <c r="E261" s="23" t="str">
        <f aca="false">IF($B261="","",IFERROR(INDEX('Mẫu task'!$D$5:$D$64,MATCH($B261,'Mẫu task'!$A$5:$A$64,0)),""))</f>
        <v/>
      </c>
      <c r="F261" s="23" t="str">
        <f aca="false">IF($B261="","",IFERROR(INDEX('Mẫu task'!$E$5:$E$64,MATCH($B261,'Mẫu task'!$A$5:$A$64,0)),""))</f>
        <v/>
      </c>
      <c r="G261" s="19"/>
      <c r="H261" s="20"/>
      <c r="I261" s="14" t="str">
        <f aca="false">IF($B261="","",IFERROR(INDEX('Mẫu task'!$H$5:$H$64,MATCH($B261,'Mẫu task'!$A$5:$A$64,0)),""))</f>
        <v/>
      </c>
      <c r="J261" s="24" t="str">
        <f aca="false">IF(OR($H261="",$I261=""),"",$H261+$I261)</f>
        <v/>
      </c>
      <c r="K261" s="22"/>
      <c r="L261" s="20"/>
      <c r="M261" s="14" t="str">
        <f aca="true">IF($B261="","",IF($K261="Hoàn thành","Xong",IF($K261="Không áp dụng","—",IF($K261="Bị chặn","Bị chặn",IF($O261=1,"TRỄ "&amp;(TODAY()-$J261)&amp;" ngày",IF(AND($K261="Đang làm",$P261&gt;0),"Bước trước chưa xong",IF(AND($J261&lt;&gt;"",N($J261)-TODAY()&lt;=3),"Sắp đến hạn",IF($K261="Đang làm","Đang làm","Chưa bắt đầu"))))))))</f>
        <v/>
      </c>
      <c r="N261" s="25"/>
      <c r="O261" s="26" t="n">
        <f aca="true">IF(AND($B261&lt;&gt;"",$K261&lt;&gt;"Hoàn thành",$K261&lt;&gt;"Không áp dụng",$J261&lt;&gt;""),IF($J261&lt;TODAY(),1,0),0)</f>
        <v>0</v>
      </c>
      <c r="P261" s="26" t="n">
        <f aca="false">IF(AND($B261&lt;&gt;"",$C261&lt;&gt;"",N($C261)&gt;1),COUNTIFS(Task!$A$5:$A$404,$A261,Task!$C$5:$C$404,N($C261)-1,Task!$K$5:$K$404,"&lt;&gt;Hoàn thành",Task!$K$5:$K$404,"&lt;&gt;Không áp dụng"),0)</f>
        <v>0</v>
      </c>
    </row>
    <row r="262" customFormat="false" ht="15" hidden="false" customHeight="false" outlineLevel="0" collapsed="false">
      <c r="A262" s="19"/>
      <c r="B262" s="22"/>
      <c r="C262" s="14" t="str">
        <f aca="false">IF($B262="","",IFERROR(INDEX('Mẫu task'!$B$5:$B$64,MATCH($B262,'Mẫu task'!$A$5:$A$64,0)),""))</f>
        <v/>
      </c>
      <c r="D262" s="15" t="str">
        <f aca="false">IF($C262="","",IFERROR(INDEX('Quy trình'!$B$5:$B$12,MATCH($C262,'Quy trình'!$A$5:$A$12,0)),""))</f>
        <v/>
      </c>
      <c r="E262" s="23" t="str">
        <f aca="false">IF($B262="","",IFERROR(INDEX('Mẫu task'!$D$5:$D$64,MATCH($B262,'Mẫu task'!$A$5:$A$64,0)),""))</f>
        <v/>
      </c>
      <c r="F262" s="23" t="str">
        <f aca="false">IF($B262="","",IFERROR(INDEX('Mẫu task'!$E$5:$E$64,MATCH($B262,'Mẫu task'!$A$5:$A$64,0)),""))</f>
        <v/>
      </c>
      <c r="G262" s="19"/>
      <c r="H262" s="20"/>
      <c r="I262" s="14" t="str">
        <f aca="false">IF($B262="","",IFERROR(INDEX('Mẫu task'!$H$5:$H$64,MATCH($B262,'Mẫu task'!$A$5:$A$64,0)),""))</f>
        <v/>
      </c>
      <c r="J262" s="24" t="str">
        <f aca="false">IF(OR($H262="",$I262=""),"",$H262+$I262)</f>
        <v/>
      </c>
      <c r="K262" s="22"/>
      <c r="L262" s="20"/>
      <c r="M262" s="14" t="str">
        <f aca="true">IF($B262="","",IF($K262="Hoàn thành","Xong",IF($K262="Không áp dụng","—",IF($K262="Bị chặn","Bị chặn",IF($O262=1,"TRỄ "&amp;(TODAY()-$J262)&amp;" ngày",IF(AND($K262="Đang làm",$P262&gt;0),"Bước trước chưa xong",IF(AND($J262&lt;&gt;"",N($J262)-TODAY()&lt;=3),"Sắp đến hạn",IF($K262="Đang làm","Đang làm","Chưa bắt đầu"))))))))</f>
        <v/>
      </c>
      <c r="N262" s="25"/>
      <c r="O262" s="26" t="n">
        <f aca="true">IF(AND($B262&lt;&gt;"",$K262&lt;&gt;"Hoàn thành",$K262&lt;&gt;"Không áp dụng",$J262&lt;&gt;""),IF($J262&lt;TODAY(),1,0),0)</f>
        <v>0</v>
      </c>
      <c r="P262" s="26" t="n">
        <f aca="false">IF(AND($B262&lt;&gt;"",$C262&lt;&gt;"",N($C262)&gt;1),COUNTIFS(Task!$A$5:$A$404,$A262,Task!$C$5:$C$404,N($C262)-1,Task!$K$5:$K$404,"&lt;&gt;Hoàn thành",Task!$K$5:$K$404,"&lt;&gt;Không áp dụng"),0)</f>
        <v>0</v>
      </c>
    </row>
    <row r="263" customFormat="false" ht="15" hidden="false" customHeight="false" outlineLevel="0" collapsed="false">
      <c r="A263" s="19"/>
      <c r="B263" s="22"/>
      <c r="C263" s="14" t="str">
        <f aca="false">IF($B263="","",IFERROR(INDEX('Mẫu task'!$B$5:$B$64,MATCH($B263,'Mẫu task'!$A$5:$A$64,0)),""))</f>
        <v/>
      </c>
      <c r="D263" s="15" t="str">
        <f aca="false">IF($C263="","",IFERROR(INDEX('Quy trình'!$B$5:$B$12,MATCH($C263,'Quy trình'!$A$5:$A$12,0)),""))</f>
        <v/>
      </c>
      <c r="E263" s="23" t="str">
        <f aca="false">IF($B263="","",IFERROR(INDEX('Mẫu task'!$D$5:$D$64,MATCH($B263,'Mẫu task'!$A$5:$A$64,0)),""))</f>
        <v/>
      </c>
      <c r="F263" s="23" t="str">
        <f aca="false">IF($B263="","",IFERROR(INDEX('Mẫu task'!$E$5:$E$64,MATCH($B263,'Mẫu task'!$A$5:$A$64,0)),""))</f>
        <v/>
      </c>
      <c r="G263" s="19"/>
      <c r="H263" s="20"/>
      <c r="I263" s="14" t="str">
        <f aca="false">IF($B263="","",IFERROR(INDEX('Mẫu task'!$H$5:$H$64,MATCH($B263,'Mẫu task'!$A$5:$A$64,0)),""))</f>
        <v/>
      </c>
      <c r="J263" s="24" t="str">
        <f aca="false">IF(OR($H263="",$I263=""),"",$H263+$I263)</f>
        <v/>
      </c>
      <c r="K263" s="22"/>
      <c r="L263" s="20"/>
      <c r="M263" s="14" t="str">
        <f aca="true">IF($B263="","",IF($K263="Hoàn thành","Xong",IF($K263="Không áp dụng","—",IF($K263="Bị chặn","Bị chặn",IF($O263=1,"TRỄ "&amp;(TODAY()-$J263)&amp;" ngày",IF(AND($K263="Đang làm",$P263&gt;0),"Bước trước chưa xong",IF(AND($J263&lt;&gt;"",N($J263)-TODAY()&lt;=3),"Sắp đến hạn",IF($K263="Đang làm","Đang làm","Chưa bắt đầu"))))))))</f>
        <v/>
      </c>
      <c r="N263" s="25"/>
      <c r="O263" s="26" t="n">
        <f aca="true">IF(AND($B263&lt;&gt;"",$K263&lt;&gt;"Hoàn thành",$K263&lt;&gt;"Không áp dụng",$J263&lt;&gt;""),IF($J263&lt;TODAY(),1,0),0)</f>
        <v>0</v>
      </c>
      <c r="P263" s="26" t="n">
        <f aca="false">IF(AND($B263&lt;&gt;"",$C263&lt;&gt;"",N($C263)&gt;1),COUNTIFS(Task!$A$5:$A$404,$A263,Task!$C$5:$C$404,N($C263)-1,Task!$K$5:$K$404,"&lt;&gt;Hoàn thành",Task!$K$5:$K$404,"&lt;&gt;Không áp dụng"),0)</f>
        <v>0</v>
      </c>
    </row>
    <row r="264" customFormat="false" ht="15" hidden="false" customHeight="false" outlineLevel="0" collapsed="false">
      <c r="A264" s="19"/>
      <c r="B264" s="22"/>
      <c r="C264" s="14" t="str">
        <f aca="false">IF($B264="","",IFERROR(INDEX('Mẫu task'!$B$5:$B$64,MATCH($B264,'Mẫu task'!$A$5:$A$64,0)),""))</f>
        <v/>
      </c>
      <c r="D264" s="15" t="str">
        <f aca="false">IF($C264="","",IFERROR(INDEX('Quy trình'!$B$5:$B$12,MATCH($C264,'Quy trình'!$A$5:$A$12,0)),""))</f>
        <v/>
      </c>
      <c r="E264" s="23" t="str">
        <f aca="false">IF($B264="","",IFERROR(INDEX('Mẫu task'!$D$5:$D$64,MATCH($B264,'Mẫu task'!$A$5:$A$64,0)),""))</f>
        <v/>
      </c>
      <c r="F264" s="23" t="str">
        <f aca="false">IF($B264="","",IFERROR(INDEX('Mẫu task'!$E$5:$E$64,MATCH($B264,'Mẫu task'!$A$5:$A$64,0)),""))</f>
        <v/>
      </c>
      <c r="G264" s="19"/>
      <c r="H264" s="20"/>
      <c r="I264" s="14" t="str">
        <f aca="false">IF($B264="","",IFERROR(INDEX('Mẫu task'!$H$5:$H$64,MATCH($B264,'Mẫu task'!$A$5:$A$64,0)),""))</f>
        <v/>
      </c>
      <c r="J264" s="24" t="str">
        <f aca="false">IF(OR($H264="",$I264=""),"",$H264+$I264)</f>
        <v/>
      </c>
      <c r="K264" s="22"/>
      <c r="L264" s="20"/>
      <c r="M264" s="14" t="str">
        <f aca="true">IF($B264="","",IF($K264="Hoàn thành","Xong",IF($K264="Không áp dụng","—",IF($K264="Bị chặn","Bị chặn",IF($O264=1,"TRỄ "&amp;(TODAY()-$J264)&amp;" ngày",IF(AND($K264="Đang làm",$P264&gt;0),"Bước trước chưa xong",IF(AND($J264&lt;&gt;"",N($J264)-TODAY()&lt;=3),"Sắp đến hạn",IF($K264="Đang làm","Đang làm","Chưa bắt đầu"))))))))</f>
        <v/>
      </c>
      <c r="N264" s="25"/>
      <c r="O264" s="26" t="n">
        <f aca="true">IF(AND($B264&lt;&gt;"",$K264&lt;&gt;"Hoàn thành",$K264&lt;&gt;"Không áp dụng",$J264&lt;&gt;""),IF($J264&lt;TODAY(),1,0),0)</f>
        <v>0</v>
      </c>
      <c r="P264" s="26" t="n">
        <f aca="false">IF(AND($B264&lt;&gt;"",$C264&lt;&gt;"",N($C264)&gt;1),COUNTIFS(Task!$A$5:$A$404,$A264,Task!$C$5:$C$404,N($C264)-1,Task!$K$5:$K$404,"&lt;&gt;Hoàn thành",Task!$K$5:$K$404,"&lt;&gt;Không áp dụng"),0)</f>
        <v>0</v>
      </c>
    </row>
    <row r="265" customFormat="false" ht="15" hidden="false" customHeight="false" outlineLevel="0" collapsed="false">
      <c r="A265" s="19"/>
      <c r="B265" s="22"/>
      <c r="C265" s="14" t="str">
        <f aca="false">IF($B265="","",IFERROR(INDEX('Mẫu task'!$B$5:$B$64,MATCH($B265,'Mẫu task'!$A$5:$A$64,0)),""))</f>
        <v/>
      </c>
      <c r="D265" s="15" t="str">
        <f aca="false">IF($C265="","",IFERROR(INDEX('Quy trình'!$B$5:$B$12,MATCH($C265,'Quy trình'!$A$5:$A$12,0)),""))</f>
        <v/>
      </c>
      <c r="E265" s="23" t="str">
        <f aca="false">IF($B265="","",IFERROR(INDEX('Mẫu task'!$D$5:$D$64,MATCH($B265,'Mẫu task'!$A$5:$A$64,0)),""))</f>
        <v/>
      </c>
      <c r="F265" s="23" t="str">
        <f aca="false">IF($B265="","",IFERROR(INDEX('Mẫu task'!$E$5:$E$64,MATCH($B265,'Mẫu task'!$A$5:$A$64,0)),""))</f>
        <v/>
      </c>
      <c r="G265" s="19"/>
      <c r="H265" s="20"/>
      <c r="I265" s="14" t="str">
        <f aca="false">IF($B265="","",IFERROR(INDEX('Mẫu task'!$H$5:$H$64,MATCH($B265,'Mẫu task'!$A$5:$A$64,0)),""))</f>
        <v/>
      </c>
      <c r="J265" s="24" t="str">
        <f aca="false">IF(OR($H265="",$I265=""),"",$H265+$I265)</f>
        <v/>
      </c>
      <c r="K265" s="22"/>
      <c r="L265" s="20"/>
      <c r="M265" s="14" t="str">
        <f aca="true">IF($B265="","",IF($K265="Hoàn thành","Xong",IF($K265="Không áp dụng","—",IF($K265="Bị chặn","Bị chặn",IF($O265=1,"TRỄ "&amp;(TODAY()-$J265)&amp;" ngày",IF(AND($K265="Đang làm",$P265&gt;0),"Bước trước chưa xong",IF(AND($J265&lt;&gt;"",N($J265)-TODAY()&lt;=3),"Sắp đến hạn",IF($K265="Đang làm","Đang làm","Chưa bắt đầu"))))))))</f>
        <v/>
      </c>
      <c r="N265" s="25"/>
      <c r="O265" s="26" t="n">
        <f aca="true">IF(AND($B265&lt;&gt;"",$K265&lt;&gt;"Hoàn thành",$K265&lt;&gt;"Không áp dụng",$J265&lt;&gt;""),IF($J265&lt;TODAY(),1,0),0)</f>
        <v>0</v>
      </c>
      <c r="P265" s="26" t="n">
        <f aca="false">IF(AND($B265&lt;&gt;"",$C265&lt;&gt;"",N($C265)&gt;1),COUNTIFS(Task!$A$5:$A$404,$A265,Task!$C$5:$C$404,N($C265)-1,Task!$K$5:$K$404,"&lt;&gt;Hoàn thành",Task!$K$5:$K$404,"&lt;&gt;Không áp dụng"),0)</f>
        <v>0</v>
      </c>
    </row>
    <row r="266" customFormat="false" ht="15" hidden="false" customHeight="false" outlineLevel="0" collapsed="false">
      <c r="A266" s="19"/>
      <c r="B266" s="22"/>
      <c r="C266" s="14" t="str">
        <f aca="false">IF($B266="","",IFERROR(INDEX('Mẫu task'!$B$5:$B$64,MATCH($B266,'Mẫu task'!$A$5:$A$64,0)),""))</f>
        <v/>
      </c>
      <c r="D266" s="15" t="str">
        <f aca="false">IF($C266="","",IFERROR(INDEX('Quy trình'!$B$5:$B$12,MATCH($C266,'Quy trình'!$A$5:$A$12,0)),""))</f>
        <v/>
      </c>
      <c r="E266" s="23" t="str">
        <f aca="false">IF($B266="","",IFERROR(INDEX('Mẫu task'!$D$5:$D$64,MATCH($B266,'Mẫu task'!$A$5:$A$64,0)),""))</f>
        <v/>
      </c>
      <c r="F266" s="23" t="str">
        <f aca="false">IF($B266="","",IFERROR(INDEX('Mẫu task'!$E$5:$E$64,MATCH($B266,'Mẫu task'!$A$5:$A$64,0)),""))</f>
        <v/>
      </c>
      <c r="G266" s="19"/>
      <c r="H266" s="20"/>
      <c r="I266" s="14" t="str">
        <f aca="false">IF($B266="","",IFERROR(INDEX('Mẫu task'!$H$5:$H$64,MATCH($B266,'Mẫu task'!$A$5:$A$64,0)),""))</f>
        <v/>
      </c>
      <c r="J266" s="24" t="str">
        <f aca="false">IF(OR($H266="",$I266=""),"",$H266+$I266)</f>
        <v/>
      </c>
      <c r="K266" s="22"/>
      <c r="L266" s="20"/>
      <c r="M266" s="14" t="str">
        <f aca="true">IF($B266="","",IF($K266="Hoàn thành","Xong",IF($K266="Không áp dụng","—",IF($K266="Bị chặn","Bị chặn",IF($O266=1,"TRỄ "&amp;(TODAY()-$J266)&amp;" ngày",IF(AND($K266="Đang làm",$P266&gt;0),"Bước trước chưa xong",IF(AND($J266&lt;&gt;"",N($J266)-TODAY()&lt;=3),"Sắp đến hạn",IF($K266="Đang làm","Đang làm","Chưa bắt đầu"))))))))</f>
        <v/>
      </c>
      <c r="N266" s="25"/>
      <c r="O266" s="26" t="n">
        <f aca="true">IF(AND($B266&lt;&gt;"",$K266&lt;&gt;"Hoàn thành",$K266&lt;&gt;"Không áp dụng",$J266&lt;&gt;""),IF($J266&lt;TODAY(),1,0),0)</f>
        <v>0</v>
      </c>
      <c r="P266" s="26" t="n">
        <f aca="false">IF(AND($B266&lt;&gt;"",$C266&lt;&gt;"",N($C266)&gt;1),COUNTIFS(Task!$A$5:$A$404,$A266,Task!$C$5:$C$404,N($C266)-1,Task!$K$5:$K$404,"&lt;&gt;Hoàn thành",Task!$K$5:$K$404,"&lt;&gt;Không áp dụng"),0)</f>
        <v>0</v>
      </c>
    </row>
    <row r="267" customFormat="false" ht="15" hidden="false" customHeight="false" outlineLevel="0" collapsed="false">
      <c r="A267" s="19"/>
      <c r="B267" s="22"/>
      <c r="C267" s="14" t="str">
        <f aca="false">IF($B267="","",IFERROR(INDEX('Mẫu task'!$B$5:$B$64,MATCH($B267,'Mẫu task'!$A$5:$A$64,0)),""))</f>
        <v/>
      </c>
      <c r="D267" s="15" t="str">
        <f aca="false">IF($C267="","",IFERROR(INDEX('Quy trình'!$B$5:$B$12,MATCH($C267,'Quy trình'!$A$5:$A$12,0)),""))</f>
        <v/>
      </c>
      <c r="E267" s="23" t="str">
        <f aca="false">IF($B267="","",IFERROR(INDEX('Mẫu task'!$D$5:$D$64,MATCH($B267,'Mẫu task'!$A$5:$A$64,0)),""))</f>
        <v/>
      </c>
      <c r="F267" s="23" t="str">
        <f aca="false">IF($B267="","",IFERROR(INDEX('Mẫu task'!$E$5:$E$64,MATCH($B267,'Mẫu task'!$A$5:$A$64,0)),""))</f>
        <v/>
      </c>
      <c r="G267" s="19"/>
      <c r="H267" s="20"/>
      <c r="I267" s="14" t="str">
        <f aca="false">IF($B267="","",IFERROR(INDEX('Mẫu task'!$H$5:$H$64,MATCH($B267,'Mẫu task'!$A$5:$A$64,0)),""))</f>
        <v/>
      </c>
      <c r="J267" s="24" t="str">
        <f aca="false">IF(OR($H267="",$I267=""),"",$H267+$I267)</f>
        <v/>
      </c>
      <c r="K267" s="22"/>
      <c r="L267" s="20"/>
      <c r="M267" s="14" t="str">
        <f aca="true">IF($B267="","",IF($K267="Hoàn thành","Xong",IF($K267="Không áp dụng","—",IF($K267="Bị chặn","Bị chặn",IF($O267=1,"TRỄ "&amp;(TODAY()-$J267)&amp;" ngày",IF(AND($K267="Đang làm",$P267&gt;0),"Bước trước chưa xong",IF(AND($J267&lt;&gt;"",N($J267)-TODAY()&lt;=3),"Sắp đến hạn",IF($K267="Đang làm","Đang làm","Chưa bắt đầu"))))))))</f>
        <v/>
      </c>
      <c r="N267" s="25"/>
      <c r="O267" s="26" t="n">
        <f aca="true">IF(AND($B267&lt;&gt;"",$K267&lt;&gt;"Hoàn thành",$K267&lt;&gt;"Không áp dụng",$J267&lt;&gt;""),IF($J267&lt;TODAY(),1,0),0)</f>
        <v>0</v>
      </c>
      <c r="P267" s="26" t="n">
        <f aca="false">IF(AND($B267&lt;&gt;"",$C267&lt;&gt;"",N($C267)&gt;1),COUNTIFS(Task!$A$5:$A$404,$A267,Task!$C$5:$C$404,N($C267)-1,Task!$K$5:$K$404,"&lt;&gt;Hoàn thành",Task!$K$5:$K$404,"&lt;&gt;Không áp dụng"),0)</f>
        <v>0</v>
      </c>
    </row>
    <row r="268" customFormat="false" ht="15" hidden="false" customHeight="false" outlineLevel="0" collapsed="false">
      <c r="A268" s="19"/>
      <c r="B268" s="22"/>
      <c r="C268" s="14" t="str">
        <f aca="false">IF($B268="","",IFERROR(INDEX('Mẫu task'!$B$5:$B$64,MATCH($B268,'Mẫu task'!$A$5:$A$64,0)),""))</f>
        <v/>
      </c>
      <c r="D268" s="15" t="str">
        <f aca="false">IF($C268="","",IFERROR(INDEX('Quy trình'!$B$5:$B$12,MATCH($C268,'Quy trình'!$A$5:$A$12,0)),""))</f>
        <v/>
      </c>
      <c r="E268" s="23" t="str">
        <f aca="false">IF($B268="","",IFERROR(INDEX('Mẫu task'!$D$5:$D$64,MATCH($B268,'Mẫu task'!$A$5:$A$64,0)),""))</f>
        <v/>
      </c>
      <c r="F268" s="23" t="str">
        <f aca="false">IF($B268="","",IFERROR(INDEX('Mẫu task'!$E$5:$E$64,MATCH($B268,'Mẫu task'!$A$5:$A$64,0)),""))</f>
        <v/>
      </c>
      <c r="G268" s="19"/>
      <c r="H268" s="20"/>
      <c r="I268" s="14" t="str">
        <f aca="false">IF($B268="","",IFERROR(INDEX('Mẫu task'!$H$5:$H$64,MATCH($B268,'Mẫu task'!$A$5:$A$64,0)),""))</f>
        <v/>
      </c>
      <c r="J268" s="24" t="str">
        <f aca="false">IF(OR($H268="",$I268=""),"",$H268+$I268)</f>
        <v/>
      </c>
      <c r="K268" s="22"/>
      <c r="L268" s="20"/>
      <c r="M268" s="14" t="str">
        <f aca="true">IF($B268="","",IF($K268="Hoàn thành","Xong",IF($K268="Không áp dụng","—",IF($K268="Bị chặn","Bị chặn",IF($O268=1,"TRỄ "&amp;(TODAY()-$J268)&amp;" ngày",IF(AND($K268="Đang làm",$P268&gt;0),"Bước trước chưa xong",IF(AND($J268&lt;&gt;"",N($J268)-TODAY()&lt;=3),"Sắp đến hạn",IF($K268="Đang làm","Đang làm","Chưa bắt đầu"))))))))</f>
        <v/>
      </c>
      <c r="N268" s="25"/>
      <c r="O268" s="26" t="n">
        <f aca="true">IF(AND($B268&lt;&gt;"",$K268&lt;&gt;"Hoàn thành",$K268&lt;&gt;"Không áp dụng",$J268&lt;&gt;""),IF($J268&lt;TODAY(),1,0),0)</f>
        <v>0</v>
      </c>
      <c r="P268" s="26" t="n">
        <f aca="false">IF(AND($B268&lt;&gt;"",$C268&lt;&gt;"",N($C268)&gt;1),COUNTIFS(Task!$A$5:$A$404,$A268,Task!$C$5:$C$404,N($C268)-1,Task!$K$5:$K$404,"&lt;&gt;Hoàn thành",Task!$K$5:$K$404,"&lt;&gt;Không áp dụng"),0)</f>
        <v>0</v>
      </c>
    </row>
    <row r="269" customFormat="false" ht="15" hidden="false" customHeight="false" outlineLevel="0" collapsed="false">
      <c r="A269" s="19"/>
      <c r="B269" s="22"/>
      <c r="C269" s="14" t="str">
        <f aca="false">IF($B269="","",IFERROR(INDEX('Mẫu task'!$B$5:$B$64,MATCH($B269,'Mẫu task'!$A$5:$A$64,0)),""))</f>
        <v/>
      </c>
      <c r="D269" s="15" t="str">
        <f aca="false">IF($C269="","",IFERROR(INDEX('Quy trình'!$B$5:$B$12,MATCH($C269,'Quy trình'!$A$5:$A$12,0)),""))</f>
        <v/>
      </c>
      <c r="E269" s="23" t="str">
        <f aca="false">IF($B269="","",IFERROR(INDEX('Mẫu task'!$D$5:$D$64,MATCH($B269,'Mẫu task'!$A$5:$A$64,0)),""))</f>
        <v/>
      </c>
      <c r="F269" s="23" t="str">
        <f aca="false">IF($B269="","",IFERROR(INDEX('Mẫu task'!$E$5:$E$64,MATCH($B269,'Mẫu task'!$A$5:$A$64,0)),""))</f>
        <v/>
      </c>
      <c r="G269" s="19"/>
      <c r="H269" s="20"/>
      <c r="I269" s="14" t="str">
        <f aca="false">IF($B269="","",IFERROR(INDEX('Mẫu task'!$H$5:$H$64,MATCH($B269,'Mẫu task'!$A$5:$A$64,0)),""))</f>
        <v/>
      </c>
      <c r="J269" s="24" t="str">
        <f aca="false">IF(OR($H269="",$I269=""),"",$H269+$I269)</f>
        <v/>
      </c>
      <c r="K269" s="22"/>
      <c r="L269" s="20"/>
      <c r="M269" s="14" t="str">
        <f aca="true">IF($B269="","",IF($K269="Hoàn thành","Xong",IF($K269="Không áp dụng","—",IF($K269="Bị chặn","Bị chặn",IF($O269=1,"TRỄ "&amp;(TODAY()-$J269)&amp;" ngày",IF(AND($K269="Đang làm",$P269&gt;0),"Bước trước chưa xong",IF(AND($J269&lt;&gt;"",N($J269)-TODAY()&lt;=3),"Sắp đến hạn",IF($K269="Đang làm","Đang làm","Chưa bắt đầu"))))))))</f>
        <v/>
      </c>
      <c r="N269" s="25"/>
      <c r="O269" s="26" t="n">
        <f aca="true">IF(AND($B269&lt;&gt;"",$K269&lt;&gt;"Hoàn thành",$K269&lt;&gt;"Không áp dụng",$J269&lt;&gt;""),IF($J269&lt;TODAY(),1,0),0)</f>
        <v>0</v>
      </c>
      <c r="P269" s="26" t="n">
        <f aca="false">IF(AND($B269&lt;&gt;"",$C269&lt;&gt;"",N($C269)&gt;1),COUNTIFS(Task!$A$5:$A$404,$A269,Task!$C$5:$C$404,N($C269)-1,Task!$K$5:$K$404,"&lt;&gt;Hoàn thành",Task!$K$5:$K$404,"&lt;&gt;Không áp dụng"),0)</f>
        <v>0</v>
      </c>
    </row>
    <row r="270" customFormat="false" ht="15" hidden="false" customHeight="false" outlineLevel="0" collapsed="false">
      <c r="A270" s="19"/>
      <c r="B270" s="22"/>
      <c r="C270" s="14" t="str">
        <f aca="false">IF($B270="","",IFERROR(INDEX('Mẫu task'!$B$5:$B$64,MATCH($B270,'Mẫu task'!$A$5:$A$64,0)),""))</f>
        <v/>
      </c>
      <c r="D270" s="15" t="str">
        <f aca="false">IF($C270="","",IFERROR(INDEX('Quy trình'!$B$5:$B$12,MATCH($C270,'Quy trình'!$A$5:$A$12,0)),""))</f>
        <v/>
      </c>
      <c r="E270" s="23" t="str">
        <f aca="false">IF($B270="","",IFERROR(INDEX('Mẫu task'!$D$5:$D$64,MATCH($B270,'Mẫu task'!$A$5:$A$64,0)),""))</f>
        <v/>
      </c>
      <c r="F270" s="23" t="str">
        <f aca="false">IF($B270="","",IFERROR(INDEX('Mẫu task'!$E$5:$E$64,MATCH($B270,'Mẫu task'!$A$5:$A$64,0)),""))</f>
        <v/>
      </c>
      <c r="G270" s="19"/>
      <c r="H270" s="20"/>
      <c r="I270" s="14" t="str">
        <f aca="false">IF($B270="","",IFERROR(INDEX('Mẫu task'!$H$5:$H$64,MATCH($B270,'Mẫu task'!$A$5:$A$64,0)),""))</f>
        <v/>
      </c>
      <c r="J270" s="24" t="str">
        <f aca="false">IF(OR($H270="",$I270=""),"",$H270+$I270)</f>
        <v/>
      </c>
      <c r="K270" s="22"/>
      <c r="L270" s="20"/>
      <c r="M270" s="14" t="str">
        <f aca="true">IF($B270="","",IF($K270="Hoàn thành","Xong",IF($K270="Không áp dụng","—",IF($K270="Bị chặn","Bị chặn",IF($O270=1,"TRỄ "&amp;(TODAY()-$J270)&amp;" ngày",IF(AND($K270="Đang làm",$P270&gt;0),"Bước trước chưa xong",IF(AND($J270&lt;&gt;"",N($J270)-TODAY()&lt;=3),"Sắp đến hạn",IF($K270="Đang làm","Đang làm","Chưa bắt đầu"))))))))</f>
        <v/>
      </c>
      <c r="N270" s="25"/>
      <c r="O270" s="26" t="n">
        <f aca="true">IF(AND($B270&lt;&gt;"",$K270&lt;&gt;"Hoàn thành",$K270&lt;&gt;"Không áp dụng",$J270&lt;&gt;""),IF($J270&lt;TODAY(),1,0),0)</f>
        <v>0</v>
      </c>
      <c r="P270" s="26" t="n">
        <f aca="false">IF(AND($B270&lt;&gt;"",$C270&lt;&gt;"",N($C270)&gt;1),COUNTIFS(Task!$A$5:$A$404,$A270,Task!$C$5:$C$404,N($C270)-1,Task!$K$5:$K$404,"&lt;&gt;Hoàn thành",Task!$K$5:$K$404,"&lt;&gt;Không áp dụng"),0)</f>
        <v>0</v>
      </c>
    </row>
    <row r="271" customFormat="false" ht="15" hidden="false" customHeight="false" outlineLevel="0" collapsed="false">
      <c r="A271" s="19"/>
      <c r="B271" s="22"/>
      <c r="C271" s="14" t="str">
        <f aca="false">IF($B271="","",IFERROR(INDEX('Mẫu task'!$B$5:$B$64,MATCH($B271,'Mẫu task'!$A$5:$A$64,0)),""))</f>
        <v/>
      </c>
      <c r="D271" s="15" t="str">
        <f aca="false">IF($C271="","",IFERROR(INDEX('Quy trình'!$B$5:$B$12,MATCH($C271,'Quy trình'!$A$5:$A$12,0)),""))</f>
        <v/>
      </c>
      <c r="E271" s="23" t="str">
        <f aca="false">IF($B271="","",IFERROR(INDEX('Mẫu task'!$D$5:$D$64,MATCH($B271,'Mẫu task'!$A$5:$A$64,0)),""))</f>
        <v/>
      </c>
      <c r="F271" s="23" t="str">
        <f aca="false">IF($B271="","",IFERROR(INDEX('Mẫu task'!$E$5:$E$64,MATCH($B271,'Mẫu task'!$A$5:$A$64,0)),""))</f>
        <v/>
      </c>
      <c r="G271" s="19"/>
      <c r="H271" s="20"/>
      <c r="I271" s="14" t="str">
        <f aca="false">IF($B271="","",IFERROR(INDEX('Mẫu task'!$H$5:$H$64,MATCH($B271,'Mẫu task'!$A$5:$A$64,0)),""))</f>
        <v/>
      </c>
      <c r="J271" s="24" t="str">
        <f aca="false">IF(OR($H271="",$I271=""),"",$H271+$I271)</f>
        <v/>
      </c>
      <c r="K271" s="22"/>
      <c r="L271" s="20"/>
      <c r="M271" s="14" t="str">
        <f aca="true">IF($B271="","",IF($K271="Hoàn thành","Xong",IF($K271="Không áp dụng","—",IF($K271="Bị chặn","Bị chặn",IF($O271=1,"TRỄ "&amp;(TODAY()-$J271)&amp;" ngày",IF(AND($K271="Đang làm",$P271&gt;0),"Bước trước chưa xong",IF(AND($J271&lt;&gt;"",N($J271)-TODAY()&lt;=3),"Sắp đến hạn",IF($K271="Đang làm","Đang làm","Chưa bắt đầu"))))))))</f>
        <v/>
      </c>
      <c r="N271" s="25"/>
      <c r="O271" s="26" t="n">
        <f aca="true">IF(AND($B271&lt;&gt;"",$K271&lt;&gt;"Hoàn thành",$K271&lt;&gt;"Không áp dụng",$J271&lt;&gt;""),IF($J271&lt;TODAY(),1,0),0)</f>
        <v>0</v>
      </c>
      <c r="P271" s="26" t="n">
        <f aca="false">IF(AND($B271&lt;&gt;"",$C271&lt;&gt;"",N($C271)&gt;1),COUNTIFS(Task!$A$5:$A$404,$A271,Task!$C$5:$C$404,N($C271)-1,Task!$K$5:$K$404,"&lt;&gt;Hoàn thành",Task!$K$5:$K$404,"&lt;&gt;Không áp dụng"),0)</f>
        <v>0</v>
      </c>
    </row>
    <row r="272" customFormat="false" ht="15" hidden="false" customHeight="false" outlineLevel="0" collapsed="false">
      <c r="A272" s="19"/>
      <c r="B272" s="22"/>
      <c r="C272" s="14" t="str">
        <f aca="false">IF($B272="","",IFERROR(INDEX('Mẫu task'!$B$5:$B$64,MATCH($B272,'Mẫu task'!$A$5:$A$64,0)),""))</f>
        <v/>
      </c>
      <c r="D272" s="15" t="str">
        <f aca="false">IF($C272="","",IFERROR(INDEX('Quy trình'!$B$5:$B$12,MATCH($C272,'Quy trình'!$A$5:$A$12,0)),""))</f>
        <v/>
      </c>
      <c r="E272" s="23" t="str">
        <f aca="false">IF($B272="","",IFERROR(INDEX('Mẫu task'!$D$5:$D$64,MATCH($B272,'Mẫu task'!$A$5:$A$64,0)),""))</f>
        <v/>
      </c>
      <c r="F272" s="23" t="str">
        <f aca="false">IF($B272="","",IFERROR(INDEX('Mẫu task'!$E$5:$E$64,MATCH($B272,'Mẫu task'!$A$5:$A$64,0)),""))</f>
        <v/>
      </c>
      <c r="G272" s="19"/>
      <c r="H272" s="20"/>
      <c r="I272" s="14" t="str">
        <f aca="false">IF($B272="","",IFERROR(INDEX('Mẫu task'!$H$5:$H$64,MATCH($B272,'Mẫu task'!$A$5:$A$64,0)),""))</f>
        <v/>
      </c>
      <c r="J272" s="24" t="str">
        <f aca="false">IF(OR($H272="",$I272=""),"",$H272+$I272)</f>
        <v/>
      </c>
      <c r="K272" s="22"/>
      <c r="L272" s="20"/>
      <c r="M272" s="14" t="str">
        <f aca="true">IF($B272="","",IF($K272="Hoàn thành","Xong",IF($K272="Không áp dụng","—",IF($K272="Bị chặn","Bị chặn",IF($O272=1,"TRỄ "&amp;(TODAY()-$J272)&amp;" ngày",IF(AND($K272="Đang làm",$P272&gt;0),"Bước trước chưa xong",IF(AND($J272&lt;&gt;"",N($J272)-TODAY()&lt;=3),"Sắp đến hạn",IF($K272="Đang làm","Đang làm","Chưa bắt đầu"))))))))</f>
        <v/>
      </c>
      <c r="N272" s="25"/>
      <c r="O272" s="26" t="n">
        <f aca="true">IF(AND($B272&lt;&gt;"",$K272&lt;&gt;"Hoàn thành",$K272&lt;&gt;"Không áp dụng",$J272&lt;&gt;""),IF($J272&lt;TODAY(),1,0),0)</f>
        <v>0</v>
      </c>
      <c r="P272" s="26" t="n">
        <f aca="false">IF(AND($B272&lt;&gt;"",$C272&lt;&gt;"",N($C272)&gt;1),COUNTIFS(Task!$A$5:$A$404,$A272,Task!$C$5:$C$404,N($C272)-1,Task!$K$5:$K$404,"&lt;&gt;Hoàn thành",Task!$K$5:$K$404,"&lt;&gt;Không áp dụng"),0)</f>
        <v>0</v>
      </c>
    </row>
    <row r="273" customFormat="false" ht="15" hidden="false" customHeight="false" outlineLevel="0" collapsed="false">
      <c r="A273" s="19"/>
      <c r="B273" s="22"/>
      <c r="C273" s="14" t="str">
        <f aca="false">IF($B273="","",IFERROR(INDEX('Mẫu task'!$B$5:$B$64,MATCH($B273,'Mẫu task'!$A$5:$A$64,0)),""))</f>
        <v/>
      </c>
      <c r="D273" s="15" t="str">
        <f aca="false">IF($C273="","",IFERROR(INDEX('Quy trình'!$B$5:$B$12,MATCH($C273,'Quy trình'!$A$5:$A$12,0)),""))</f>
        <v/>
      </c>
      <c r="E273" s="23" t="str">
        <f aca="false">IF($B273="","",IFERROR(INDEX('Mẫu task'!$D$5:$D$64,MATCH($B273,'Mẫu task'!$A$5:$A$64,0)),""))</f>
        <v/>
      </c>
      <c r="F273" s="23" t="str">
        <f aca="false">IF($B273="","",IFERROR(INDEX('Mẫu task'!$E$5:$E$64,MATCH($B273,'Mẫu task'!$A$5:$A$64,0)),""))</f>
        <v/>
      </c>
      <c r="G273" s="19"/>
      <c r="H273" s="20"/>
      <c r="I273" s="14" t="str">
        <f aca="false">IF($B273="","",IFERROR(INDEX('Mẫu task'!$H$5:$H$64,MATCH($B273,'Mẫu task'!$A$5:$A$64,0)),""))</f>
        <v/>
      </c>
      <c r="J273" s="24" t="str">
        <f aca="false">IF(OR($H273="",$I273=""),"",$H273+$I273)</f>
        <v/>
      </c>
      <c r="K273" s="22"/>
      <c r="L273" s="20"/>
      <c r="M273" s="14" t="str">
        <f aca="true">IF($B273="","",IF($K273="Hoàn thành","Xong",IF($K273="Không áp dụng","—",IF($K273="Bị chặn","Bị chặn",IF($O273=1,"TRỄ "&amp;(TODAY()-$J273)&amp;" ngày",IF(AND($K273="Đang làm",$P273&gt;0),"Bước trước chưa xong",IF(AND($J273&lt;&gt;"",N($J273)-TODAY()&lt;=3),"Sắp đến hạn",IF($K273="Đang làm","Đang làm","Chưa bắt đầu"))))))))</f>
        <v/>
      </c>
      <c r="N273" s="25"/>
      <c r="O273" s="26" t="n">
        <f aca="true">IF(AND($B273&lt;&gt;"",$K273&lt;&gt;"Hoàn thành",$K273&lt;&gt;"Không áp dụng",$J273&lt;&gt;""),IF($J273&lt;TODAY(),1,0),0)</f>
        <v>0</v>
      </c>
      <c r="P273" s="26" t="n">
        <f aca="false">IF(AND($B273&lt;&gt;"",$C273&lt;&gt;"",N($C273)&gt;1),COUNTIFS(Task!$A$5:$A$404,$A273,Task!$C$5:$C$404,N($C273)-1,Task!$K$5:$K$404,"&lt;&gt;Hoàn thành",Task!$K$5:$K$404,"&lt;&gt;Không áp dụng"),0)</f>
        <v>0</v>
      </c>
    </row>
    <row r="274" customFormat="false" ht="15" hidden="false" customHeight="false" outlineLevel="0" collapsed="false">
      <c r="A274" s="19"/>
      <c r="B274" s="22"/>
      <c r="C274" s="14" t="str">
        <f aca="false">IF($B274="","",IFERROR(INDEX('Mẫu task'!$B$5:$B$64,MATCH($B274,'Mẫu task'!$A$5:$A$64,0)),""))</f>
        <v/>
      </c>
      <c r="D274" s="15" t="str">
        <f aca="false">IF($C274="","",IFERROR(INDEX('Quy trình'!$B$5:$B$12,MATCH($C274,'Quy trình'!$A$5:$A$12,0)),""))</f>
        <v/>
      </c>
      <c r="E274" s="23" t="str">
        <f aca="false">IF($B274="","",IFERROR(INDEX('Mẫu task'!$D$5:$D$64,MATCH($B274,'Mẫu task'!$A$5:$A$64,0)),""))</f>
        <v/>
      </c>
      <c r="F274" s="23" t="str">
        <f aca="false">IF($B274="","",IFERROR(INDEX('Mẫu task'!$E$5:$E$64,MATCH($B274,'Mẫu task'!$A$5:$A$64,0)),""))</f>
        <v/>
      </c>
      <c r="G274" s="19"/>
      <c r="H274" s="20"/>
      <c r="I274" s="14" t="str">
        <f aca="false">IF($B274="","",IFERROR(INDEX('Mẫu task'!$H$5:$H$64,MATCH($B274,'Mẫu task'!$A$5:$A$64,0)),""))</f>
        <v/>
      </c>
      <c r="J274" s="24" t="str">
        <f aca="false">IF(OR($H274="",$I274=""),"",$H274+$I274)</f>
        <v/>
      </c>
      <c r="K274" s="22"/>
      <c r="L274" s="20"/>
      <c r="M274" s="14" t="str">
        <f aca="true">IF($B274="","",IF($K274="Hoàn thành","Xong",IF($K274="Không áp dụng","—",IF($K274="Bị chặn","Bị chặn",IF($O274=1,"TRỄ "&amp;(TODAY()-$J274)&amp;" ngày",IF(AND($K274="Đang làm",$P274&gt;0),"Bước trước chưa xong",IF(AND($J274&lt;&gt;"",N($J274)-TODAY()&lt;=3),"Sắp đến hạn",IF($K274="Đang làm","Đang làm","Chưa bắt đầu"))))))))</f>
        <v/>
      </c>
      <c r="N274" s="25"/>
      <c r="O274" s="26" t="n">
        <f aca="true">IF(AND($B274&lt;&gt;"",$K274&lt;&gt;"Hoàn thành",$K274&lt;&gt;"Không áp dụng",$J274&lt;&gt;""),IF($J274&lt;TODAY(),1,0),0)</f>
        <v>0</v>
      </c>
      <c r="P274" s="26" t="n">
        <f aca="false">IF(AND($B274&lt;&gt;"",$C274&lt;&gt;"",N($C274)&gt;1),COUNTIFS(Task!$A$5:$A$404,$A274,Task!$C$5:$C$404,N($C274)-1,Task!$K$5:$K$404,"&lt;&gt;Hoàn thành",Task!$K$5:$K$404,"&lt;&gt;Không áp dụng"),0)</f>
        <v>0</v>
      </c>
    </row>
    <row r="275" customFormat="false" ht="15" hidden="false" customHeight="false" outlineLevel="0" collapsed="false">
      <c r="A275" s="19"/>
      <c r="B275" s="22"/>
      <c r="C275" s="14" t="str">
        <f aca="false">IF($B275="","",IFERROR(INDEX('Mẫu task'!$B$5:$B$64,MATCH($B275,'Mẫu task'!$A$5:$A$64,0)),""))</f>
        <v/>
      </c>
      <c r="D275" s="15" t="str">
        <f aca="false">IF($C275="","",IFERROR(INDEX('Quy trình'!$B$5:$B$12,MATCH($C275,'Quy trình'!$A$5:$A$12,0)),""))</f>
        <v/>
      </c>
      <c r="E275" s="23" t="str">
        <f aca="false">IF($B275="","",IFERROR(INDEX('Mẫu task'!$D$5:$D$64,MATCH($B275,'Mẫu task'!$A$5:$A$64,0)),""))</f>
        <v/>
      </c>
      <c r="F275" s="23" t="str">
        <f aca="false">IF($B275="","",IFERROR(INDEX('Mẫu task'!$E$5:$E$64,MATCH($B275,'Mẫu task'!$A$5:$A$64,0)),""))</f>
        <v/>
      </c>
      <c r="G275" s="19"/>
      <c r="H275" s="20"/>
      <c r="I275" s="14" t="str">
        <f aca="false">IF($B275="","",IFERROR(INDEX('Mẫu task'!$H$5:$H$64,MATCH($B275,'Mẫu task'!$A$5:$A$64,0)),""))</f>
        <v/>
      </c>
      <c r="J275" s="24" t="str">
        <f aca="false">IF(OR($H275="",$I275=""),"",$H275+$I275)</f>
        <v/>
      </c>
      <c r="K275" s="22"/>
      <c r="L275" s="20"/>
      <c r="M275" s="14" t="str">
        <f aca="true">IF($B275="","",IF($K275="Hoàn thành","Xong",IF($K275="Không áp dụng","—",IF($K275="Bị chặn","Bị chặn",IF($O275=1,"TRỄ "&amp;(TODAY()-$J275)&amp;" ngày",IF(AND($K275="Đang làm",$P275&gt;0),"Bước trước chưa xong",IF(AND($J275&lt;&gt;"",N($J275)-TODAY()&lt;=3),"Sắp đến hạn",IF($K275="Đang làm","Đang làm","Chưa bắt đầu"))))))))</f>
        <v/>
      </c>
      <c r="N275" s="25"/>
      <c r="O275" s="26" t="n">
        <f aca="true">IF(AND($B275&lt;&gt;"",$K275&lt;&gt;"Hoàn thành",$K275&lt;&gt;"Không áp dụng",$J275&lt;&gt;""),IF($J275&lt;TODAY(),1,0),0)</f>
        <v>0</v>
      </c>
      <c r="P275" s="26" t="n">
        <f aca="false">IF(AND($B275&lt;&gt;"",$C275&lt;&gt;"",N($C275)&gt;1),COUNTIFS(Task!$A$5:$A$404,$A275,Task!$C$5:$C$404,N($C275)-1,Task!$K$5:$K$404,"&lt;&gt;Hoàn thành",Task!$K$5:$K$404,"&lt;&gt;Không áp dụng"),0)</f>
        <v>0</v>
      </c>
    </row>
    <row r="276" customFormat="false" ht="15" hidden="false" customHeight="false" outlineLevel="0" collapsed="false">
      <c r="A276" s="19"/>
      <c r="B276" s="22"/>
      <c r="C276" s="14" t="str">
        <f aca="false">IF($B276="","",IFERROR(INDEX('Mẫu task'!$B$5:$B$64,MATCH($B276,'Mẫu task'!$A$5:$A$64,0)),""))</f>
        <v/>
      </c>
      <c r="D276" s="15" t="str">
        <f aca="false">IF($C276="","",IFERROR(INDEX('Quy trình'!$B$5:$B$12,MATCH($C276,'Quy trình'!$A$5:$A$12,0)),""))</f>
        <v/>
      </c>
      <c r="E276" s="23" t="str">
        <f aca="false">IF($B276="","",IFERROR(INDEX('Mẫu task'!$D$5:$D$64,MATCH($B276,'Mẫu task'!$A$5:$A$64,0)),""))</f>
        <v/>
      </c>
      <c r="F276" s="23" t="str">
        <f aca="false">IF($B276="","",IFERROR(INDEX('Mẫu task'!$E$5:$E$64,MATCH($B276,'Mẫu task'!$A$5:$A$64,0)),""))</f>
        <v/>
      </c>
      <c r="G276" s="19"/>
      <c r="H276" s="20"/>
      <c r="I276" s="14" t="str">
        <f aca="false">IF($B276="","",IFERROR(INDEX('Mẫu task'!$H$5:$H$64,MATCH($B276,'Mẫu task'!$A$5:$A$64,0)),""))</f>
        <v/>
      </c>
      <c r="J276" s="24" t="str">
        <f aca="false">IF(OR($H276="",$I276=""),"",$H276+$I276)</f>
        <v/>
      </c>
      <c r="K276" s="22"/>
      <c r="L276" s="20"/>
      <c r="M276" s="14" t="str">
        <f aca="true">IF($B276="","",IF($K276="Hoàn thành","Xong",IF($K276="Không áp dụng","—",IF($K276="Bị chặn","Bị chặn",IF($O276=1,"TRỄ "&amp;(TODAY()-$J276)&amp;" ngày",IF(AND($K276="Đang làm",$P276&gt;0),"Bước trước chưa xong",IF(AND($J276&lt;&gt;"",N($J276)-TODAY()&lt;=3),"Sắp đến hạn",IF($K276="Đang làm","Đang làm","Chưa bắt đầu"))))))))</f>
        <v/>
      </c>
      <c r="N276" s="25"/>
      <c r="O276" s="26" t="n">
        <f aca="true">IF(AND($B276&lt;&gt;"",$K276&lt;&gt;"Hoàn thành",$K276&lt;&gt;"Không áp dụng",$J276&lt;&gt;""),IF($J276&lt;TODAY(),1,0),0)</f>
        <v>0</v>
      </c>
      <c r="P276" s="26" t="n">
        <f aca="false">IF(AND($B276&lt;&gt;"",$C276&lt;&gt;"",N($C276)&gt;1),COUNTIFS(Task!$A$5:$A$404,$A276,Task!$C$5:$C$404,N($C276)-1,Task!$K$5:$K$404,"&lt;&gt;Hoàn thành",Task!$K$5:$K$404,"&lt;&gt;Không áp dụng"),0)</f>
        <v>0</v>
      </c>
    </row>
    <row r="277" customFormat="false" ht="15" hidden="false" customHeight="false" outlineLevel="0" collapsed="false">
      <c r="A277" s="19"/>
      <c r="B277" s="22"/>
      <c r="C277" s="14" t="str">
        <f aca="false">IF($B277="","",IFERROR(INDEX('Mẫu task'!$B$5:$B$64,MATCH($B277,'Mẫu task'!$A$5:$A$64,0)),""))</f>
        <v/>
      </c>
      <c r="D277" s="15" t="str">
        <f aca="false">IF($C277="","",IFERROR(INDEX('Quy trình'!$B$5:$B$12,MATCH($C277,'Quy trình'!$A$5:$A$12,0)),""))</f>
        <v/>
      </c>
      <c r="E277" s="23" t="str">
        <f aca="false">IF($B277="","",IFERROR(INDEX('Mẫu task'!$D$5:$D$64,MATCH($B277,'Mẫu task'!$A$5:$A$64,0)),""))</f>
        <v/>
      </c>
      <c r="F277" s="23" t="str">
        <f aca="false">IF($B277="","",IFERROR(INDEX('Mẫu task'!$E$5:$E$64,MATCH($B277,'Mẫu task'!$A$5:$A$64,0)),""))</f>
        <v/>
      </c>
      <c r="G277" s="19"/>
      <c r="H277" s="20"/>
      <c r="I277" s="14" t="str">
        <f aca="false">IF($B277="","",IFERROR(INDEX('Mẫu task'!$H$5:$H$64,MATCH($B277,'Mẫu task'!$A$5:$A$64,0)),""))</f>
        <v/>
      </c>
      <c r="J277" s="24" t="str">
        <f aca="false">IF(OR($H277="",$I277=""),"",$H277+$I277)</f>
        <v/>
      </c>
      <c r="K277" s="22"/>
      <c r="L277" s="20"/>
      <c r="M277" s="14" t="str">
        <f aca="true">IF($B277="","",IF($K277="Hoàn thành","Xong",IF($K277="Không áp dụng","—",IF($K277="Bị chặn","Bị chặn",IF($O277=1,"TRỄ "&amp;(TODAY()-$J277)&amp;" ngày",IF(AND($K277="Đang làm",$P277&gt;0),"Bước trước chưa xong",IF(AND($J277&lt;&gt;"",N($J277)-TODAY()&lt;=3),"Sắp đến hạn",IF($K277="Đang làm","Đang làm","Chưa bắt đầu"))))))))</f>
        <v/>
      </c>
      <c r="N277" s="25"/>
      <c r="O277" s="26" t="n">
        <f aca="true">IF(AND($B277&lt;&gt;"",$K277&lt;&gt;"Hoàn thành",$K277&lt;&gt;"Không áp dụng",$J277&lt;&gt;""),IF($J277&lt;TODAY(),1,0),0)</f>
        <v>0</v>
      </c>
      <c r="P277" s="26" t="n">
        <f aca="false">IF(AND($B277&lt;&gt;"",$C277&lt;&gt;"",N($C277)&gt;1),COUNTIFS(Task!$A$5:$A$404,$A277,Task!$C$5:$C$404,N($C277)-1,Task!$K$5:$K$404,"&lt;&gt;Hoàn thành",Task!$K$5:$K$404,"&lt;&gt;Không áp dụng"),0)</f>
        <v>0</v>
      </c>
    </row>
    <row r="278" customFormat="false" ht="15" hidden="false" customHeight="false" outlineLevel="0" collapsed="false">
      <c r="A278" s="19"/>
      <c r="B278" s="22"/>
      <c r="C278" s="14" t="str">
        <f aca="false">IF($B278="","",IFERROR(INDEX('Mẫu task'!$B$5:$B$64,MATCH($B278,'Mẫu task'!$A$5:$A$64,0)),""))</f>
        <v/>
      </c>
      <c r="D278" s="15" t="str">
        <f aca="false">IF($C278="","",IFERROR(INDEX('Quy trình'!$B$5:$B$12,MATCH($C278,'Quy trình'!$A$5:$A$12,0)),""))</f>
        <v/>
      </c>
      <c r="E278" s="23" t="str">
        <f aca="false">IF($B278="","",IFERROR(INDEX('Mẫu task'!$D$5:$D$64,MATCH($B278,'Mẫu task'!$A$5:$A$64,0)),""))</f>
        <v/>
      </c>
      <c r="F278" s="23" t="str">
        <f aca="false">IF($B278="","",IFERROR(INDEX('Mẫu task'!$E$5:$E$64,MATCH($B278,'Mẫu task'!$A$5:$A$64,0)),""))</f>
        <v/>
      </c>
      <c r="G278" s="19"/>
      <c r="H278" s="20"/>
      <c r="I278" s="14" t="str">
        <f aca="false">IF($B278="","",IFERROR(INDEX('Mẫu task'!$H$5:$H$64,MATCH($B278,'Mẫu task'!$A$5:$A$64,0)),""))</f>
        <v/>
      </c>
      <c r="J278" s="24" t="str">
        <f aca="false">IF(OR($H278="",$I278=""),"",$H278+$I278)</f>
        <v/>
      </c>
      <c r="K278" s="22"/>
      <c r="L278" s="20"/>
      <c r="M278" s="14" t="str">
        <f aca="true">IF($B278="","",IF($K278="Hoàn thành","Xong",IF($K278="Không áp dụng","—",IF($K278="Bị chặn","Bị chặn",IF($O278=1,"TRỄ "&amp;(TODAY()-$J278)&amp;" ngày",IF(AND($K278="Đang làm",$P278&gt;0),"Bước trước chưa xong",IF(AND($J278&lt;&gt;"",N($J278)-TODAY()&lt;=3),"Sắp đến hạn",IF($K278="Đang làm","Đang làm","Chưa bắt đầu"))))))))</f>
        <v/>
      </c>
      <c r="N278" s="25"/>
      <c r="O278" s="26" t="n">
        <f aca="true">IF(AND($B278&lt;&gt;"",$K278&lt;&gt;"Hoàn thành",$K278&lt;&gt;"Không áp dụng",$J278&lt;&gt;""),IF($J278&lt;TODAY(),1,0),0)</f>
        <v>0</v>
      </c>
      <c r="P278" s="26" t="n">
        <f aca="false">IF(AND($B278&lt;&gt;"",$C278&lt;&gt;"",N($C278)&gt;1),COUNTIFS(Task!$A$5:$A$404,$A278,Task!$C$5:$C$404,N($C278)-1,Task!$K$5:$K$404,"&lt;&gt;Hoàn thành",Task!$K$5:$K$404,"&lt;&gt;Không áp dụng"),0)</f>
        <v>0</v>
      </c>
    </row>
    <row r="279" customFormat="false" ht="15" hidden="false" customHeight="false" outlineLevel="0" collapsed="false">
      <c r="A279" s="19"/>
      <c r="B279" s="22"/>
      <c r="C279" s="14" t="str">
        <f aca="false">IF($B279="","",IFERROR(INDEX('Mẫu task'!$B$5:$B$64,MATCH($B279,'Mẫu task'!$A$5:$A$64,0)),""))</f>
        <v/>
      </c>
      <c r="D279" s="15" t="str">
        <f aca="false">IF($C279="","",IFERROR(INDEX('Quy trình'!$B$5:$B$12,MATCH($C279,'Quy trình'!$A$5:$A$12,0)),""))</f>
        <v/>
      </c>
      <c r="E279" s="23" t="str">
        <f aca="false">IF($B279="","",IFERROR(INDEX('Mẫu task'!$D$5:$D$64,MATCH($B279,'Mẫu task'!$A$5:$A$64,0)),""))</f>
        <v/>
      </c>
      <c r="F279" s="23" t="str">
        <f aca="false">IF($B279="","",IFERROR(INDEX('Mẫu task'!$E$5:$E$64,MATCH($B279,'Mẫu task'!$A$5:$A$64,0)),""))</f>
        <v/>
      </c>
      <c r="G279" s="19"/>
      <c r="H279" s="20"/>
      <c r="I279" s="14" t="str">
        <f aca="false">IF($B279="","",IFERROR(INDEX('Mẫu task'!$H$5:$H$64,MATCH($B279,'Mẫu task'!$A$5:$A$64,0)),""))</f>
        <v/>
      </c>
      <c r="J279" s="24" t="str">
        <f aca="false">IF(OR($H279="",$I279=""),"",$H279+$I279)</f>
        <v/>
      </c>
      <c r="K279" s="22"/>
      <c r="L279" s="20"/>
      <c r="M279" s="14" t="str">
        <f aca="true">IF($B279="","",IF($K279="Hoàn thành","Xong",IF($K279="Không áp dụng","—",IF($K279="Bị chặn","Bị chặn",IF($O279=1,"TRỄ "&amp;(TODAY()-$J279)&amp;" ngày",IF(AND($K279="Đang làm",$P279&gt;0),"Bước trước chưa xong",IF(AND($J279&lt;&gt;"",N($J279)-TODAY()&lt;=3),"Sắp đến hạn",IF($K279="Đang làm","Đang làm","Chưa bắt đầu"))))))))</f>
        <v/>
      </c>
      <c r="N279" s="25"/>
      <c r="O279" s="26" t="n">
        <f aca="true">IF(AND($B279&lt;&gt;"",$K279&lt;&gt;"Hoàn thành",$K279&lt;&gt;"Không áp dụng",$J279&lt;&gt;""),IF($J279&lt;TODAY(),1,0),0)</f>
        <v>0</v>
      </c>
      <c r="P279" s="26" t="n">
        <f aca="false">IF(AND($B279&lt;&gt;"",$C279&lt;&gt;"",N($C279)&gt;1),COUNTIFS(Task!$A$5:$A$404,$A279,Task!$C$5:$C$404,N($C279)-1,Task!$K$5:$K$404,"&lt;&gt;Hoàn thành",Task!$K$5:$K$404,"&lt;&gt;Không áp dụng"),0)</f>
        <v>0</v>
      </c>
    </row>
    <row r="280" customFormat="false" ht="15" hidden="false" customHeight="false" outlineLevel="0" collapsed="false">
      <c r="A280" s="19"/>
      <c r="B280" s="22"/>
      <c r="C280" s="14" t="str">
        <f aca="false">IF($B280="","",IFERROR(INDEX('Mẫu task'!$B$5:$B$64,MATCH($B280,'Mẫu task'!$A$5:$A$64,0)),""))</f>
        <v/>
      </c>
      <c r="D280" s="15" t="str">
        <f aca="false">IF($C280="","",IFERROR(INDEX('Quy trình'!$B$5:$B$12,MATCH($C280,'Quy trình'!$A$5:$A$12,0)),""))</f>
        <v/>
      </c>
      <c r="E280" s="23" t="str">
        <f aca="false">IF($B280="","",IFERROR(INDEX('Mẫu task'!$D$5:$D$64,MATCH($B280,'Mẫu task'!$A$5:$A$64,0)),""))</f>
        <v/>
      </c>
      <c r="F280" s="23" t="str">
        <f aca="false">IF($B280="","",IFERROR(INDEX('Mẫu task'!$E$5:$E$64,MATCH($B280,'Mẫu task'!$A$5:$A$64,0)),""))</f>
        <v/>
      </c>
      <c r="G280" s="19"/>
      <c r="H280" s="20"/>
      <c r="I280" s="14" t="str">
        <f aca="false">IF($B280="","",IFERROR(INDEX('Mẫu task'!$H$5:$H$64,MATCH($B280,'Mẫu task'!$A$5:$A$64,0)),""))</f>
        <v/>
      </c>
      <c r="J280" s="24" t="str">
        <f aca="false">IF(OR($H280="",$I280=""),"",$H280+$I280)</f>
        <v/>
      </c>
      <c r="K280" s="22"/>
      <c r="L280" s="20"/>
      <c r="M280" s="14" t="str">
        <f aca="true">IF($B280="","",IF($K280="Hoàn thành","Xong",IF($K280="Không áp dụng","—",IF($K280="Bị chặn","Bị chặn",IF($O280=1,"TRỄ "&amp;(TODAY()-$J280)&amp;" ngày",IF(AND($K280="Đang làm",$P280&gt;0),"Bước trước chưa xong",IF(AND($J280&lt;&gt;"",N($J280)-TODAY()&lt;=3),"Sắp đến hạn",IF($K280="Đang làm","Đang làm","Chưa bắt đầu"))))))))</f>
        <v/>
      </c>
      <c r="N280" s="25"/>
      <c r="O280" s="26" t="n">
        <f aca="true">IF(AND($B280&lt;&gt;"",$K280&lt;&gt;"Hoàn thành",$K280&lt;&gt;"Không áp dụng",$J280&lt;&gt;""),IF($J280&lt;TODAY(),1,0),0)</f>
        <v>0</v>
      </c>
      <c r="P280" s="26" t="n">
        <f aca="false">IF(AND($B280&lt;&gt;"",$C280&lt;&gt;"",N($C280)&gt;1),COUNTIFS(Task!$A$5:$A$404,$A280,Task!$C$5:$C$404,N($C280)-1,Task!$K$5:$K$404,"&lt;&gt;Hoàn thành",Task!$K$5:$K$404,"&lt;&gt;Không áp dụng"),0)</f>
        <v>0</v>
      </c>
    </row>
    <row r="281" customFormat="false" ht="15" hidden="false" customHeight="false" outlineLevel="0" collapsed="false">
      <c r="A281" s="19"/>
      <c r="B281" s="22"/>
      <c r="C281" s="14" t="str">
        <f aca="false">IF($B281="","",IFERROR(INDEX('Mẫu task'!$B$5:$B$64,MATCH($B281,'Mẫu task'!$A$5:$A$64,0)),""))</f>
        <v/>
      </c>
      <c r="D281" s="15" t="str">
        <f aca="false">IF($C281="","",IFERROR(INDEX('Quy trình'!$B$5:$B$12,MATCH($C281,'Quy trình'!$A$5:$A$12,0)),""))</f>
        <v/>
      </c>
      <c r="E281" s="23" t="str">
        <f aca="false">IF($B281="","",IFERROR(INDEX('Mẫu task'!$D$5:$D$64,MATCH($B281,'Mẫu task'!$A$5:$A$64,0)),""))</f>
        <v/>
      </c>
      <c r="F281" s="23" t="str">
        <f aca="false">IF($B281="","",IFERROR(INDEX('Mẫu task'!$E$5:$E$64,MATCH($B281,'Mẫu task'!$A$5:$A$64,0)),""))</f>
        <v/>
      </c>
      <c r="G281" s="19"/>
      <c r="H281" s="20"/>
      <c r="I281" s="14" t="str">
        <f aca="false">IF($B281="","",IFERROR(INDEX('Mẫu task'!$H$5:$H$64,MATCH($B281,'Mẫu task'!$A$5:$A$64,0)),""))</f>
        <v/>
      </c>
      <c r="J281" s="24" t="str">
        <f aca="false">IF(OR($H281="",$I281=""),"",$H281+$I281)</f>
        <v/>
      </c>
      <c r="K281" s="22"/>
      <c r="L281" s="20"/>
      <c r="M281" s="14" t="str">
        <f aca="true">IF($B281="","",IF($K281="Hoàn thành","Xong",IF($K281="Không áp dụng","—",IF($K281="Bị chặn","Bị chặn",IF($O281=1,"TRỄ "&amp;(TODAY()-$J281)&amp;" ngày",IF(AND($K281="Đang làm",$P281&gt;0),"Bước trước chưa xong",IF(AND($J281&lt;&gt;"",N($J281)-TODAY()&lt;=3),"Sắp đến hạn",IF($K281="Đang làm","Đang làm","Chưa bắt đầu"))))))))</f>
        <v/>
      </c>
      <c r="N281" s="25"/>
      <c r="O281" s="26" t="n">
        <f aca="true">IF(AND($B281&lt;&gt;"",$K281&lt;&gt;"Hoàn thành",$K281&lt;&gt;"Không áp dụng",$J281&lt;&gt;""),IF($J281&lt;TODAY(),1,0),0)</f>
        <v>0</v>
      </c>
      <c r="P281" s="26" t="n">
        <f aca="false">IF(AND($B281&lt;&gt;"",$C281&lt;&gt;"",N($C281)&gt;1),COUNTIFS(Task!$A$5:$A$404,$A281,Task!$C$5:$C$404,N($C281)-1,Task!$K$5:$K$404,"&lt;&gt;Hoàn thành",Task!$K$5:$K$404,"&lt;&gt;Không áp dụng"),0)</f>
        <v>0</v>
      </c>
    </row>
    <row r="282" customFormat="false" ht="15" hidden="false" customHeight="false" outlineLevel="0" collapsed="false">
      <c r="A282" s="19"/>
      <c r="B282" s="22"/>
      <c r="C282" s="14" t="str">
        <f aca="false">IF($B282="","",IFERROR(INDEX('Mẫu task'!$B$5:$B$64,MATCH($B282,'Mẫu task'!$A$5:$A$64,0)),""))</f>
        <v/>
      </c>
      <c r="D282" s="15" t="str">
        <f aca="false">IF($C282="","",IFERROR(INDEX('Quy trình'!$B$5:$B$12,MATCH($C282,'Quy trình'!$A$5:$A$12,0)),""))</f>
        <v/>
      </c>
      <c r="E282" s="23" t="str">
        <f aca="false">IF($B282="","",IFERROR(INDEX('Mẫu task'!$D$5:$D$64,MATCH($B282,'Mẫu task'!$A$5:$A$64,0)),""))</f>
        <v/>
      </c>
      <c r="F282" s="23" t="str">
        <f aca="false">IF($B282="","",IFERROR(INDEX('Mẫu task'!$E$5:$E$64,MATCH($B282,'Mẫu task'!$A$5:$A$64,0)),""))</f>
        <v/>
      </c>
      <c r="G282" s="19"/>
      <c r="H282" s="20"/>
      <c r="I282" s="14" t="str">
        <f aca="false">IF($B282="","",IFERROR(INDEX('Mẫu task'!$H$5:$H$64,MATCH($B282,'Mẫu task'!$A$5:$A$64,0)),""))</f>
        <v/>
      </c>
      <c r="J282" s="24" t="str">
        <f aca="false">IF(OR($H282="",$I282=""),"",$H282+$I282)</f>
        <v/>
      </c>
      <c r="K282" s="22"/>
      <c r="L282" s="20"/>
      <c r="M282" s="14" t="str">
        <f aca="true">IF($B282="","",IF($K282="Hoàn thành","Xong",IF($K282="Không áp dụng","—",IF($K282="Bị chặn","Bị chặn",IF($O282=1,"TRỄ "&amp;(TODAY()-$J282)&amp;" ngày",IF(AND($K282="Đang làm",$P282&gt;0),"Bước trước chưa xong",IF(AND($J282&lt;&gt;"",N($J282)-TODAY()&lt;=3),"Sắp đến hạn",IF($K282="Đang làm","Đang làm","Chưa bắt đầu"))))))))</f>
        <v/>
      </c>
      <c r="N282" s="25"/>
      <c r="O282" s="26" t="n">
        <f aca="true">IF(AND($B282&lt;&gt;"",$K282&lt;&gt;"Hoàn thành",$K282&lt;&gt;"Không áp dụng",$J282&lt;&gt;""),IF($J282&lt;TODAY(),1,0),0)</f>
        <v>0</v>
      </c>
      <c r="P282" s="26" t="n">
        <f aca="false">IF(AND($B282&lt;&gt;"",$C282&lt;&gt;"",N($C282)&gt;1),COUNTIFS(Task!$A$5:$A$404,$A282,Task!$C$5:$C$404,N($C282)-1,Task!$K$5:$K$404,"&lt;&gt;Hoàn thành",Task!$K$5:$K$404,"&lt;&gt;Không áp dụng"),0)</f>
        <v>0</v>
      </c>
    </row>
    <row r="283" customFormat="false" ht="15" hidden="false" customHeight="false" outlineLevel="0" collapsed="false">
      <c r="A283" s="19"/>
      <c r="B283" s="22"/>
      <c r="C283" s="14" t="str">
        <f aca="false">IF($B283="","",IFERROR(INDEX('Mẫu task'!$B$5:$B$64,MATCH($B283,'Mẫu task'!$A$5:$A$64,0)),""))</f>
        <v/>
      </c>
      <c r="D283" s="15" t="str">
        <f aca="false">IF($C283="","",IFERROR(INDEX('Quy trình'!$B$5:$B$12,MATCH($C283,'Quy trình'!$A$5:$A$12,0)),""))</f>
        <v/>
      </c>
      <c r="E283" s="23" t="str">
        <f aca="false">IF($B283="","",IFERROR(INDEX('Mẫu task'!$D$5:$D$64,MATCH($B283,'Mẫu task'!$A$5:$A$64,0)),""))</f>
        <v/>
      </c>
      <c r="F283" s="23" t="str">
        <f aca="false">IF($B283="","",IFERROR(INDEX('Mẫu task'!$E$5:$E$64,MATCH($B283,'Mẫu task'!$A$5:$A$64,0)),""))</f>
        <v/>
      </c>
      <c r="G283" s="19"/>
      <c r="H283" s="20"/>
      <c r="I283" s="14" t="str">
        <f aca="false">IF($B283="","",IFERROR(INDEX('Mẫu task'!$H$5:$H$64,MATCH($B283,'Mẫu task'!$A$5:$A$64,0)),""))</f>
        <v/>
      </c>
      <c r="J283" s="24" t="str">
        <f aca="false">IF(OR($H283="",$I283=""),"",$H283+$I283)</f>
        <v/>
      </c>
      <c r="K283" s="22"/>
      <c r="L283" s="20"/>
      <c r="M283" s="14" t="str">
        <f aca="true">IF($B283="","",IF($K283="Hoàn thành","Xong",IF($K283="Không áp dụng","—",IF($K283="Bị chặn","Bị chặn",IF($O283=1,"TRỄ "&amp;(TODAY()-$J283)&amp;" ngày",IF(AND($K283="Đang làm",$P283&gt;0),"Bước trước chưa xong",IF(AND($J283&lt;&gt;"",N($J283)-TODAY()&lt;=3),"Sắp đến hạn",IF($K283="Đang làm","Đang làm","Chưa bắt đầu"))))))))</f>
        <v/>
      </c>
      <c r="N283" s="25"/>
      <c r="O283" s="26" t="n">
        <f aca="true">IF(AND($B283&lt;&gt;"",$K283&lt;&gt;"Hoàn thành",$K283&lt;&gt;"Không áp dụng",$J283&lt;&gt;""),IF($J283&lt;TODAY(),1,0),0)</f>
        <v>0</v>
      </c>
      <c r="P283" s="26" t="n">
        <f aca="false">IF(AND($B283&lt;&gt;"",$C283&lt;&gt;"",N($C283)&gt;1),COUNTIFS(Task!$A$5:$A$404,$A283,Task!$C$5:$C$404,N($C283)-1,Task!$K$5:$K$404,"&lt;&gt;Hoàn thành",Task!$K$5:$K$404,"&lt;&gt;Không áp dụng"),0)</f>
        <v>0</v>
      </c>
    </row>
    <row r="284" customFormat="false" ht="15" hidden="false" customHeight="false" outlineLevel="0" collapsed="false">
      <c r="A284" s="19"/>
      <c r="B284" s="22"/>
      <c r="C284" s="14" t="str">
        <f aca="false">IF($B284="","",IFERROR(INDEX('Mẫu task'!$B$5:$B$64,MATCH($B284,'Mẫu task'!$A$5:$A$64,0)),""))</f>
        <v/>
      </c>
      <c r="D284" s="15" t="str">
        <f aca="false">IF($C284="","",IFERROR(INDEX('Quy trình'!$B$5:$B$12,MATCH($C284,'Quy trình'!$A$5:$A$12,0)),""))</f>
        <v/>
      </c>
      <c r="E284" s="23" t="str">
        <f aca="false">IF($B284="","",IFERROR(INDEX('Mẫu task'!$D$5:$D$64,MATCH($B284,'Mẫu task'!$A$5:$A$64,0)),""))</f>
        <v/>
      </c>
      <c r="F284" s="23" t="str">
        <f aca="false">IF($B284="","",IFERROR(INDEX('Mẫu task'!$E$5:$E$64,MATCH($B284,'Mẫu task'!$A$5:$A$64,0)),""))</f>
        <v/>
      </c>
      <c r="G284" s="19"/>
      <c r="H284" s="20"/>
      <c r="I284" s="14" t="str">
        <f aca="false">IF($B284="","",IFERROR(INDEX('Mẫu task'!$H$5:$H$64,MATCH($B284,'Mẫu task'!$A$5:$A$64,0)),""))</f>
        <v/>
      </c>
      <c r="J284" s="24" t="str">
        <f aca="false">IF(OR($H284="",$I284=""),"",$H284+$I284)</f>
        <v/>
      </c>
      <c r="K284" s="22"/>
      <c r="L284" s="20"/>
      <c r="M284" s="14" t="str">
        <f aca="true">IF($B284="","",IF($K284="Hoàn thành","Xong",IF($K284="Không áp dụng","—",IF($K284="Bị chặn","Bị chặn",IF($O284=1,"TRỄ "&amp;(TODAY()-$J284)&amp;" ngày",IF(AND($K284="Đang làm",$P284&gt;0),"Bước trước chưa xong",IF(AND($J284&lt;&gt;"",N($J284)-TODAY()&lt;=3),"Sắp đến hạn",IF($K284="Đang làm","Đang làm","Chưa bắt đầu"))))))))</f>
        <v/>
      </c>
      <c r="N284" s="25"/>
      <c r="O284" s="26" t="n">
        <f aca="true">IF(AND($B284&lt;&gt;"",$K284&lt;&gt;"Hoàn thành",$K284&lt;&gt;"Không áp dụng",$J284&lt;&gt;""),IF($J284&lt;TODAY(),1,0),0)</f>
        <v>0</v>
      </c>
      <c r="P284" s="26" t="n">
        <f aca="false">IF(AND($B284&lt;&gt;"",$C284&lt;&gt;"",N($C284)&gt;1),COUNTIFS(Task!$A$5:$A$404,$A284,Task!$C$5:$C$404,N($C284)-1,Task!$K$5:$K$404,"&lt;&gt;Hoàn thành",Task!$K$5:$K$404,"&lt;&gt;Không áp dụng"),0)</f>
        <v>0</v>
      </c>
    </row>
    <row r="285" customFormat="false" ht="15" hidden="false" customHeight="false" outlineLevel="0" collapsed="false">
      <c r="A285" s="19"/>
      <c r="B285" s="22"/>
      <c r="C285" s="14" t="str">
        <f aca="false">IF($B285="","",IFERROR(INDEX('Mẫu task'!$B$5:$B$64,MATCH($B285,'Mẫu task'!$A$5:$A$64,0)),""))</f>
        <v/>
      </c>
      <c r="D285" s="15" t="str">
        <f aca="false">IF($C285="","",IFERROR(INDEX('Quy trình'!$B$5:$B$12,MATCH($C285,'Quy trình'!$A$5:$A$12,0)),""))</f>
        <v/>
      </c>
      <c r="E285" s="23" t="str">
        <f aca="false">IF($B285="","",IFERROR(INDEX('Mẫu task'!$D$5:$D$64,MATCH($B285,'Mẫu task'!$A$5:$A$64,0)),""))</f>
        <v/>
      </c>
      <c r="F285" s="23" t="str">
        <f aca="false">IF($B285="","",IFERROR(INDEX('Mẫu task'!$E$5:$E$64,MATCH($B285,'Mẫu task'!$A$5:$A$64,0)),""))</f>
        <v/>
      </c>
      <c r="G285" s="19"/>
      <c r="H285" s="20"/>
      <c r="I285" s="14" t="str">
        <f aca="false">IF($B285="","",IFERROR(INDEX('Mẫu task'!$H$5:$H$64,MATCH($B285,'Mẫu task'!$A$5:$A$64,0)),""))</f>
        <v/>
      </c>
      <c r="J285" s="24" t="str">
        <f aca="false">IF(OR($H285="",$I285=""),"",$H285+$I285)</f>
        <v/>
      </c>
      <c r="K285" s="22"/>
      <c r="L285" s="20"/>
      <c r="M285" s="14" t="str">
        <f aca="true">IF($B285="","",IF($K285="Hoàn thành","Xong",IF($K285="Không áp dụng","—",IF($K285="Bị chặn","Bị chặn",IF($O285=1,"TRỄ "&amp;(TODAY()-$J285)&amp;" ngày",IF(AND($K285="Đang làm",$P285&gt;0),"Bước trước chưa xong",IF(AND($J285&lt;&gt;"",N($J285)-TODAY()&lt;=3),"Sắp đến hạn",IF($K285="Đang làm","Đang làm","Chưa bắt đầu"))))))))</f>
        <v/>
      </c>
      <c r="N285" s="25"/>
      <c r="O285" s="26" t="n">
        <f aca="true">IF(AND($B285&lt;&gt;"",$K285&lt;&gt;"Hoàn thành",$K285&lt;&gt;"Không áp dụng",$J285&lt;&gt;""),IF($J285&lt;TODAY(),1,0),0)</f>
        <v>0</v>
      </c>
      <c r="P285" s="26" t="n">
        <f aca="false">IF(AND($B285&lt;&gt;"",$C285&lt;&gt;"",N($C285)&gt;1),COUNTIFS(Task!$A$5:$A$404,$A285,Task!$C$5:$C$404,N($C285)-1,Task!$K$5:$K$404,"&lt;&gt;Hoàn thành",Task!$K$5:$K$404,"&lt;&gt;Không áp dụng"),0)</f>
        <v>0</v>
      </c>
    </row>
    <row r="286" customFormat="false" ht="15" hidden="false" customHeight="false" outlineLevel="0" collapsed="false">
      <c r="A286" s="19"/>
      <c r="B286" s="22"/>
      <c r="C286" s="14" t="str">
        <f aca="false">IF($B286="","",IFERROR(INDEX('Mẫu task'!$B$5:$B$64,MATCH($B286,'Mẫu task'!$A$5:$A$64,0)),""))</f>
        <v/>
      </c>
      <c r="D286" s="15" t="str">
        <f aca="false">IF($C286="","",IFERROR(INDEX('Quy trình'!$B$5:$B$12,MATCH($C286,'Quy trình'!$A$5:$A$12,0)),""))</f>
        <v/>
      </c>
      <c r="E286" s="23" t="str">
        <f aca="false">IF($B286="","",IFERROR(INDEX('Mẫu task'!$D$5:$D$64,MATCH($B286,'Mẫu task'!$A$5:$A$64,0)),""))</f>
        <v/>
      </c>
      <c r="F286" s="23" t="str">
        <f aca="false">IF($B286="","",IFERROR(INDEX('Mẫu task'!$E$5:$E$64,MATCH($B286,'Mẫu task'!$A$5:$A$64,0)),""))</f>
        <v/>
      </c>
      <c r="G286" s="19"/>
      <c r="H286" s="20"/>
      <c r="I286" s="14" t="str">
        <f aca="false">IF($B286="","",IFERROR(INDEX('Mẫu task'!$H$5:$H$64,MATCH($B286,'Mẫu task'!$A$5:$A$64,0)),""))</f>
        <v/>
      </c>
      <c r="J286" s="24" t="str">
        <f aca="false">IF(OR($H286="",$I286=""),"",$H286+$I286)</f>
        <v/>
      </c>
      <c r="K286" s="22"/>
      <c r="L286" s="20"/>
      <c r="M286" s="14" t="str">
        <f aca="true">IF($B286="","",IF($K286="Hoàn thành","Xong",IF($K286="Không áp dụng","—",IF($K286="Bị chặn","Bị chặn",IF($O286=1,"TRỄ "&amp;(TODAY()-$J286)&amp;" ngày",IF(AND($K286="Đang làm",$P286&gt;0),"Bước trước chưa xong",IF(AND($J286&lt;&gt;"",N($J286)-TODAY()&lt;=3),"Sắp đến hạn",IF($K286="Đang làm","Đang làm","Chưa bắt đầu"))))))))</f>
        <v/>
      </c>
      <c r="N286" s="25"/>
      <c r="O286" s="26" t="n">
        <f aca="true">IF(AND($B286&lt;&gt;"",$K286&lt;&gt;"Hoàn thành",$K286&lt;&gt;"Không áp dụng",$J286&lt;&gt;""),IF($J286&lt;TODAY(),1,0),0)</f>
        <v>0</v>
      </c>
      <c r="P286" s="26" t="n">
        <f aca="false">IF(AND($B286&lt;&gt;"",$C286&lt;&gt;"",N($C286)&gt;1),COUNTIFS(Task!$A$5:$A$404,$A286,Task!$C$5:$C$404,N($C286)-1,Task!$K$5:$K$404,"&lt;&gt;Hoàn thành",Task!$K$5:$K$404,"&lt;&gt;Không áp dụng"),0)</f>
        <v>0</v>
      </c>
    </row>
    <row r="287" customFormat="false" ht="15" hidden="false" customHeight="false" outlineLevel="0" collapsed="false">
      <c r="A287" s="19"/>
      <c r="B287" s="22"/>
      <c r="C287" s="14" t="str">
        <f aca="false">IF($B287="","",IFERROR(INDEX('Mẫu task'!$B$5:$B$64,MATCH($B287,'Mẫu task'!$A$5:$A$64,0)),""))</f>
        <v/>
      </c>
      <c r="D287" s="15" t="str">
        <f aca="false">IF($C287="","",IFERROR(INDEX('Quy trình'!$B$5:$B$12,MATCH($C287,'Quy trình'!$A$5:$A$12,0)),""))</f>
        <v/>
      </c>
      <c r="E287" s="23" t="str">
        <f aca="false">IF($B287="","",IFERROR(INDEX('Mẫu task'!$D$5:$D$64,MATCH($B287,'Mẫu task'!$A$5:$A$64,0)),""))</f>
        <v/>
      </c>
      <c r="F287" s="23" t="str">
        <f aca="false">IF($B287="","",IFERROR(INDEX('Mẫu task'!$E$5:$E$64,MATCH($B287,'Mẫu task'!$A$5:$A$64,0)),""))</f>
        <v/>
      </c>
      <c r="G287" s="19"/>
      <c r="H287" s="20"/>
      <c r="I287" s="14" t="str">
        <f aca="false">IF($B287="","",IFERROR(INDEX('Mẫu task'!$H$5:$H$64,MATCH($B287,'Mẫu task'!$A$5:$A$64,0)),""))</f>
        <v/>
      </c>
      <c r="J287" s="24" t="str">
        <f aca="false">IF(OR($H287="",$I287=""),"",$H287+$I287)</f>
        <v/>
      </c>
      <c r="K287" s="22"/>
      <c r="L287" s="20"/>
      <c r="M287" s="14" t="str">
        <f aca="true">IF($B287="","",IF($K287="Hoàn thành","Xong",IF($K287="Không áp dụng","—",IF($K287="Bị chặn","Bị chặn",IF($O287=1,"TRỄ "&amp;(TODAY()-$J287)&amp;" ngày",IF(AND($K287="Đang làm",$P287&gt;0),"Bước trước chưa xong",IF(AND($J287&lt;&gt;"",N($J287)-TODAY()&lt;=3),"Sắp đến hạn",IF($K287="Đang làm","Đang làm","Chưa bắt đầu"))))))))</f>
        <v/>
      </c>
      <c r="N287" s="25"/>
      <c r="O287" s="26" t="n">
        <f aca="true">IF(AND($B287&lt;&gt;"",$K287&lt;&gt;"Hoàn thành",$K287&lt;&gt;"Không áp dụng",$J287&lt;&gt;""),IF($J287&lt;TODAY(),1,0),0)</f>
        <v>0</v>
      </c>
      <c r="P287" s="26" t="n">
        <f aca="false">IF(AND($B287&lt;&gt;"",$C287&lt;&gt;"",N($C287)&gt;1),COUNTIFS(Task!$A$5:$A$404,$A287,Task!$C$5:$C$404,N($C287)-1,Task!$K$5:$K$404,"&lt;&gt;Hoàn thành",Task!$K$5:$K$404,"&lt;&gt;Không áp dụng"),0)</f>
        <v>0</v>
      </c>
    </row>
    <row r="288" customFormat="false" ht="15" hidden="false" customHeight="false" outlineLevel="0" collapsed="false">
      <c r="A288" s="19"/>
      <c r="B288" s="22"/>
      <c r="C288" s="14" t="str">
        <f aca="false">IF($B288="","",IFERROR(INDEX('Mẫu task'!$B$5:$B$64,MATCH($B288,'Mẫu task'!$A$5:$A$64,0)),""))</f>
        <v/>
      </c>
      <c r="D288" s="15" t="str">
        <f aca="false">IF($C288="","",IFERROR(INDEX('Quy trình'!$B$5:$B$12,MATCH($C288,'Quy trình'!$A$5:$A$12,0)),""))</f>
        <v/>
      </c>
      <c r="E288" s="23" t="str">
        <f aca="false">IF($B288="","",IFERROR(INDEX('Mẫu task'!$D$5:$D$64,MATCH($B288,'Mẫu task'!$A$5:$A$64,0)),""))</f>
        <v/>
      </c>
      <c r="F288" s="23" t="str">
        <f aca="false">IF($B288="","",IFERROR(INDEX('Mẫu task'!$E$5:$E$64,MATCH($B288,'Mẫu task'!$A$5:$A$64,0)),""))</f>
        <v/>
      </c>
      <c r="G288" s="19"/>
      <c r="H288" s="20"/>
      <c r="I288" s="14" t="str">
        <f aca="false">IF($B288="","",IFERROR(INDEX('Mẫu task'!$H$5:$H$64,MATCH($B288,'Mẫu task'!$A$5:$A$64,0)),""))</f>
        <v/>
      </c>
      <c r="J288" s="24" t="str">
        <f aca="false">IF(OR($H288="",$I288=""),"",$H288+$I288)</f>
        <v/>
      </c>
      <c r="K288" s="22"/>
      <c r="L288" s="20"/>
      <c r="M288" s="14" t="str">
        <f aca="true">IF($B288="","",IF($K288="Hoàn thành","Xong",IF($K288="Không áp dụng","—",IF($K288="Bị chặn","Bị chặn",IF($O288=1,"TRỄ "&amp;(TODAY()-$J288)&amp;" ngày",IF(AND($K288="Đang làm",$P288&gt;0),"Bước trước chưa xong",IF(AND($J288&lt;&gt;"",N($J288)-TODAY()&lt;=3),"Sắp đến hạn",IF($K288="Đang làm","Đang làm","Chưa bắt đầu"))))))))</f>
        <v/>
      </c>
      <c r="N288" s="25"/>
      <c r="O288" s="26" t="n">
        <f aca="true">IF(AND($B288&lt;&gt;"",$K288&lt;&gt;"Hoàn thành",$K288&lt;&gt;"Không áp dụng",$J288&lt;&gt;""),IF($J288&lt;TODAY(),1,0),0)</f>
        <v>0</v>
      </c>
      <c r="P288" s="26" t="n">
        <f aca="false">IF(AND($B288&lt;&gt;"",$C288&lt;&gt;"",N($C288)&gt;1),COUNTIFS(Task!$A$5:$A$404,$A288,Task!$C$5:$C$404,N($C288)-1,Task!$K$5:$K$404,"&lt;&gt;Hoàn thành",Task!$K$5:$K$404,"&lt;&gt;Không áp dụng"),0)</f>
        <v>0</v>
      </c>
    </row>
    <row r="289" customFormat="false" ht="15" hidden="false" customHeight="false" outlineLevel="0" collapsed="false">
      <c r="A289" s="19"/>
      <c r="B289" s="22"/>
      <c r="C289" s="14" t="str">
        <f aca="false">IF($B289="","",IFERROR(INDEX('Mẫu task'!$B$5:$B$64,MATCH($B289,'Mẫu task'!$A$5:$A$64,0)),""))</f>
        <v/>
      </c>
      <c r="D289" s="15" t="str">
        <f aca="false">IF($C289="","",IFERROR(INDEX('Quy trình'!$B$5:$B$12,MATCH($C289,'Quy trình'!$A$5:$A$12,0)),""))</f>
        <v/>
      </c>
      <c r="E289" s="23" t="str">
        <f aca="false">IF($B289="","",IFERROR(INDEX('Mẫu task'!$D$5:$D$64,MATCH($B289,'Mẫu task'!$A$5:$A$64,0)),""))</f>
        <v/>
      </c>
      <c r="F289" s="23" t="str">
        <f aca="false">IF($B289="","",IFERROR(INDEX('Mẫu task'!$E$5:$E$64,MATCH($B289,'Mẫu task'!$A$5:$A$64,0)),""))</f>
        <v/>
      </c>
      <c r="G289" s="19"/>
      <c r="H289" s="20"/>
      <c r="I289" s="14" t="str">
        <f aca="false">IF($B289="","",IFERROR(INDEX('Mẫu task'!$H$5:$H$64,MATCH($B289,'Mẫu task'!$A$5:$A$64,0)),""))</f>
        <v/>
      </c>
      <c r="J289" s="24" t="str">
        <f aca="false">IF(OR($H289="",$I289=""),"",$H289+$I289)</f>
        <v/>
      </c>
      <c r="K289" s="22"/>
      <c r="L289" s="20"/>
      <c r="M289" s="14" t="str">
        <f aca="true">IF($B289="","",IF($K289="Hoàn thành","Xong",IF($K289="Không áp dụng","—",IF($K289="Bị chặn","Bị chặn",IF($O289=1,"TRỄ "&amp;(TODAY()-$J289)&amp;" ngày",IF(AND($K289="Đang làm",$P289&gt;0),"Bước trước chưa xong",IF(AND($J289&lt;&gt;"",N($J289)-TODAY()&lt;=3),"Sắp đến hạn",IF($K289="Đang làm","Đang làm","Chưa bắt đầu"))))))))</f>
        <v/>
      </c>
      <c r="N289" s="25"/>
      <c r="O289" s="26" t="n">
        <f aca="true">IF(AND($B289&lt;&gt;"",$K289&lt;&gt;"Hoàn thành",$K289&lt;&gt;"Không áp dụng",$J289&lt;&gt;""),IF($J289&lt;TODAY(),1,0),0)</f>
        <v>0</v>
      </c>
      <c r="P289" s="26" t="n">
        <f aca="false">IF(AND($B289&lt;&gt;"",$C289&lt;&gt;"",N($C289)&gt;1),COUNTIFS(Task!$A$5:$A$404,$A289,Task!$C$5:$C$404,N($C289)-1,Task!$K$5:$K$404,"&lt;&gt;Hoàn thành",Task!$K$5:$K$404,"&lt;&gt;Không áp dụng"),0)</f>
        <v>0</v>
      </c>
    </row>
    <row r="290" customFormat="false" ht="15" hidden="false" customHeight="false" outlineLevel="0" collapsed="false">
      <c r="A290" s="19"/>
      <c r="B290" s="22"/>
      <c r="C290" s="14" t="str">
        <f aca="false">IF($B290="","",IFERROR(INDEX('Mẫu task'!$B$5:$B$64,MATCH($B290,'Mẫu task'!$A$5:$A$64,0)),""))</f>
        <v/>
      </c>
      <c r="D290" s="15" t="str">
        <f aca="false">IF($C290="","",IFERROR(INDEX('Quy trình'!$B$5:$B$12,MATCH($C290,'Quy trình'!$A$5:$A$12,0)),""))</f>
        <v/>
      </c>
      <c r="E290" s="23" t="str">
        <f aca="false">IF($B290="","",IFERROR(INDEX('Mẫu task'!$D$5:$D$64,MATCH($B290,'Mẫu task'!$A$5:$A$64,0)),""))</f>
        <v/>
      </c>
      <c r="F290" s="23" t="str">
        <f aca="false">IF($B290="","",IFERROR(INDEX('Mẫu task'!$E$5:$E$64,MATCH($B290,'Mẫu task'!$A$5:$A$64,0)),""))</f>
        <v/>
      </c>
      <c r="G290" s="19"/>
      <c r="H290" s="20"/>
      <c r="I290" s="14" t="str">
        <f aca="false">IF($B290="","",IFERROR(INDEX('Mẫu task'!$H$5:$H$64,MATCH($B290,'Mẫu task'!$A$5:$A$64,0)),""))</f>
        <v/>
      </c>
      <c r="J290" s="24" t="str">
        <f aca="false">IF(OR($H290="",$I290=""),"",$H290+$I290)</f>
        <v/>
      </c>
      <c r="K290" s="22"/>
      <c r="L290" s="20"/>
      <c r="M290" s="14" t="str">
        <f aca="true">IF($B290="","",IF($K290="Hoàn thành","Xong",IF($K290="Không áp dụng","—",IF($K290="Bị chặn","Bị chặn",IF($O290=1,"TRỄ "&amp;(TODAY()-$J290)&amp;" ngày",IF(AND($K290="Đang làm",$P290&gt;0),"Bước trước chưa xong",IF(AND($J290&lt;&gt;"",N($J290)-TODAY()&lt;=3),"Sắp đến hạn",IF($K290="Đang làm","Đang làm","Chưa bắt đầu"))))))))</f>
        <v/>
      </c>
      <c r="N290" s="25"/>
      <c r="O290" s="26" t="n">
        <f aca="true">IF(AND($B290&lt;&gt;"",$K290&lt;&gt;"Hoàn thành",$K290&lt;&gt;"Không áp dụng",$J290&lt;&gt;""),IF($J290&lt;TODAY(),1,0),0)</f>
        <v>0</v>
      </c>
      <c r="P290" s="26" t="n">
        <f aca="false">IF(AND($B290&lt;&gt;"",$C290&lt;&gt;"",N($C290)&gt;1),COUNTIFS(Task!$A$5:$A$404,$A290,Task!$C$5:$C$404,N($C290)-1,Task!$K$5:$K$404,"&lt;&gt;Hoàn thành",Task!$K$5:$K$404,"&lt;&gt;Không áp dụng"),0)</f>
        <v>0</v>
      </c>
    </row>
    <row r="291" customFormat="false" ht="15" hidden="false" customHeight="false" outlineLevel="0" collapsed="false">
      <c r="A291" s="19"/>
      <c r="B291" s="22"/>
      <c r="C291" s="14" t="str">
        <f aca="false">IF($B291="","",IFERROR(INDEX('Mẫu task'!$B$5:$B$64,MATCH($B291,'Mẫu task'!$A$5:$A$64,0)),""))</f>
        <v/>
      </c>
      <c r="D291" s="15" t="str">
        <f aca="false">IF($C291="","",IFERROR(INDEX('Quy trình'!$B$5:$B$12,MATCH($C291,'Quy trình'!$A$5:$A$12,0)),""))</f>
        <v/>
      </c>
      <c r="E291" s="23" t="str">
        <f aca="false">IF($B291="","",IFERROR(INDEX('Mẫu task'!$D$5:$D$64,MATCH($B291,'Mẫu task'!$A$5:$A$64,0)),""))</f>
        <v/>
      </c>
      <c r="F291" s="23" t="str">
        <f aca="false">IF($B291="","",IFERROR(INDEX('Mẫu task'!$E$5:$E$64,MATCH($B291,'Mẫu task'!$A$5:$A$64,0)),""))</f>
        <v/>
      </c>
      <c r="G291" s="19"/>
      <c r="H291" s="20"/>
      <c r="I291" s="14" t="str">
        <f aca="false">IF($B291="","",IFERROR(INDEX('Mẫu task'!$H$5:$H$64,MATCH($B291,'Mẫu task'!$A$5:$A$64,0)),""))</f>
        <v/>
      </c>
      <c r="J291" s="24" t="str">
        <f aca="false">IF(OR($H291="",$I291=""),"",$H291+$I291)</f>
        <v/>
      </c>
      <c r="K291" s="22"/>
      <c r="L291" s="20"/>
      <c r="M291" s="14" t="str">
        <f aca="true">IF($B291="","",IF($K291="Hoàn thành","Xong",IF($K291="Không áp dụng","—",IF($K291="Bị chặn","Bị chặn",IF($O291=1,"TRỄ "&amp;(TODAY()-$J291)&amp;" ngày",IF(AND($K291="Đang làm",$P291&gt;0),"Bước trước chưa xong",IF(AND($J291&lt;&gt;"",N($J291)-TODAY()&lt;=3),"Sắp đến hạn",IF($K291="Đang làm","Đang làm","Chưa bắt đầu"))))))))</f>
        <v/>
      </c>
      <c r="N291" s="25"/>
      <c r="O291" s="26" t="n">
        <f aca="true">IF(AND($B291&lt;&gt;"",$K291&lt;&gt;"Hoàn thành",$K291&lt;&gt;"Không áp dụng",$J291&lt;&gt;""),IF($J291&lt;TODAY(),1,0),0)</f>
        <v>0</v>
      </c>
      <c r="P291" s="26" t="n">
        <f aca="false">IF(AND($B291&lt;&gt;"",$C291&lt;&gt;"",N($C291)&gt;1),COUNTIFS(Task!$A$5:$A$404,$A291,Task!$C$5:$C$404,N($C291)-1,Task!$K$5:$K$404,"&lt;&gt;Hoàn thành",Task!$K$5:$K$404,"&lt;&gt;Không áp dụng"),0)</f>
        <v>0</v>
      </c>
    </row>
    <row r="292" customFormat="false" ht="15" hidden="false" customHeight="false" outlineLevel="0" collapsed="false">
      <c r="A292" s="19"/>
      <c r="B292" s="22"/>
      <c r="C292" s="14" t="str">
        <f aca="false">IF($B292="","",IFERROR(INDEX('Mẫu task'!$B$5:$B$64,MATCH($B292,'Mẫu task'!$A$5:$A$64,0)),""))</f>
        <v/>
      </c>
      <c r="D292" s="15" t="str">
        <f aca="false">IF($C292="","",IFERROR(INDEX('Quy trình'!$B$5:$B$12,MATCH($C292,'Quy trình'!$A$5:$A$12,0)),""))</f>
        <v/>
      </c>
      <c r="E292" s="23" t="str">
        <f aca="false">IF($B292="","",IFERROR(INDEX('Mẫu task'!$D$5:$D$64,MATCH($B292,'Mẫu task'!$A$5:$A$64,0)),""))</f>
        <v/>
      </c>
      <c r="F292" s="23" t="str">
        <f aca="false">IF($B292="","",IFERROR(INDEX('Mẫu task'!$E$5:$E$64,MATCH($B292,'Mẫu task'!$A$5:$A$64,0)),""))</f>
        <v/>
      </c>
      <c r="G292" s="19"/>
      <c r="H292" s="20"/>
      <c r="I292" s="14" t="str">
        <f aca="false">IF($B292="","",IFERROR(INDEX('Mẫu task'!$H$5:$H$64,MATCH($B292,'Mẫu task'!$A$5:$A$64,0)),""))</f>
        <v/>
      </c>
      <c r="J292" s="24" t="str">
        <f aca="false">IF(OR($H292="",$I292=""),"",$H292+$I292)</f>
        <v/>
      </c>
      <c r="K292" s="22"/>
      <c r="L292" s="20"/>
      <c r="M292" s="14" t="str">
        <f aca="true">IF($B292="","",IF($K292="Hoàn thành","Xong",IF($K292="Không áp dụng","—",IF($K292="Bị chặn","Bị chặn",IF($O292=1,"TRỄ "&amp;(TODAY()-$J292)&amp;" ngày",IF(AND($K292="Đang làm",$P292&gt;0),"Bước trước chưa xong",IF(AND($J292&lt;&gt;"",N($J292)-TODAY()&lt;=3),"Sắp đến hạn",IF($K292="Đang làm","Đang làm","Chưa bắt đầu"))))))))</f>
        <v/>
      </c>
      <c r="N292" s="25"/>
      <c r="O292" s="26" t="n">
        <f aca="true">IF(AND($B292&lt;&gt;"",$K292&lt;&gt;"Hoàn thành",$K292&lt;&gt;"Không áp dụng",$J292&lt;&gt;""),IF($J292&lt;TODAY(),1,0),0)</f>
        <v>0</v>
      </c>
      <c r="P292" s="26" t="n">
        <f aca="false">IF(AND($B292&lt;&gt;"",$C292&lt;&gt;"",N($C292)&gt;1),COUNTIFS(Task!$A$5:$A$404,$A292,Task!$C$5:$C$404,N($C292)-1,Task!$K$5:$K$404,"&lt;&gt;Hoàn thành",Task!$K$5:$K$404,"&lt;&gt;Không áp dụng"),0)</f>
        <v>0</v>
      </c>
    </row>
    <row r="293" customFormat="false" ht="15" hidden="false" customHeight="false" outlineLevel="0" collapsed="false">
      <c r="A293" s="19"/>
      <c r="B293" s="22"/>
      <c r="C293" s="14" t="str">
        <f aca="false">IF($B293="","",IFERROR(INDEX('Mẫu task'!$B$5:$B$64,MATCH($B293,'Mẫu task'!$A$5:$A$64,0)),""))</f>
        <v/>
      </c>
      <c r="D293" s="15" t="str">
        <f aca="false">IF($C293="","",IFERROR(INDEX('Quy trình'!$B$5:$B$12,MATCH($C293,'Quy trình'!$A$5:$A$12,0)),""))</f>
        <v/>
      </c>
      <c r="E293" s="23" t="str">
        <f aca="false">IF($B293="","",IFERROR(INDEX('Mẫu task'!$D$5:$D$64,MATCH($B293,'Mẫu task'!$A$5:$A$64,0)),""))</f>
        <v/>
      </c>
      <c r="F293" s="23" t="str">
        <f aca="false">IF($B293="","",IFERROR(INDEX('Mẫu task'!$E$5:$E$64,MATCH($B293,'Mẫu task'!$A$5:$A$64,0)),""))</f>
        <v/>
      </c>
      <c r="G293" s="19"/>
      <c r="H293" s="20"/>
      <c r="I293" s="14" t="str">
        <f aca="false">IF($B293="","",IFERROR(INDEX('Mẫu task'!$H$5:$H$64,MATCH($B293,'Mẫu task'!$A$5:$A$64,0)),""))</f>
        <v/>
      </c>
      <c r="J293" s="24" t="str">
        <f aca="false">IF(OR($H293="",$I293=""),"",$H293+$I293)</f>
        <v/>
      </c>
      <c r="K293" s="22"/>
      <c r="L293" s="20"/>
      <c r="M293" s="14" t="str">
        <f aca="true">IF($B293="","",IF($K293="Hoàn thành","Xong",IF($K293="Không áp dụng","—",IF($K293="Bị chặn","Bị chặn",IF($O293=1,"TRỄ "&amp;(TODAY()-$J293)&amp;" ngày",IF(AND($K293="Đang làm",$P293&gt;0),"Bước trước chưa xong",IF(AND($J293&lt;&gt;"",N($J293)-TODAY()&lt;=3),"Sắp đến hạn",IF($K293="Đang làm","Đang làm","Chưa bắt đầu"))))))))</f>
        <v/>
      </c>
      <c r="N293" s="25"/>
      <c r="O293" s="26" t="n">
        <f aca="true">IF(AND($B293&lt;&gt;"",$K293&lt;&gt;"Hoàn thành",$K293&lt;&gt;"Không áp dụng",$J293&lt;&gt;""),IF($J293&lt;TODAY(),1,0),0)</f>
        <v>0</v>
      </c>
      <c r="P293" s="26" t="n">
        <f aca="false">IF(AND($B293&lt;&gt;"",$C293&lt;&gt;"",N($C293)&gt;1),COUNTIFS(Task!$A$5:$A$404,$A293,Task!$C$5:$C$404,N($C293)-1,Task!$K$5:$K$404,"&lt;&gt;Hoàn thành",Task!$K$5:$K$404,"&lt;&gt;Không áp dụng"),0)</f>
        <v>0</v>
      </c>
    </row>
    <row r="294" customFormat="false" ht="15" hidden="false" customHeight="false" outlineLevel="0" collapsed="false">
      <c r="A294" s="19"/>
      <c r="B294" s="22"/>
      <c r="C294" s="14" t="str">
        <f aca="false">IF($B294="","",IFERROR(INDEX('Mẫu task'!$B$5:$B$64,MATCH($B294,'Mẫu task'!$A$5:$A$64,0)),""))</f>
        <v/>
      </c>
      <c r="D294" s="15" t="str">
        <f aca="false">IF($C294="","",IFERROR(INDEX('Quy trình'!$B$5:$B$12,MATCH($C294,'Quy trình'!$A$5:$A$12,0)),""))</f>
        <v/>
      </c>
      <c r="E294" s="23" t="str">
        <f aca="false">IF($B294="","",IFERROR(INDEX('Mẫu task'!$D$5:$D$64,MATCH($B294,'Mẫu task'!$A$5:$A$64,0)),""))</f>
        <v/>
      </c>
      <c r="F294" s="23" t="str">
        <f aca="false">IF($B294="","",IFERROR(INDEX('Mẫu task'!$E$5:$E$64,MATCH($B294,'Mẫu task'!$A$5:$A$64,0)),""))</f>
        <v/>
      </c>
      <c r="G294" s="19"/>
      <c r="H294" s="20"/>
      <c r="I294" s="14" t="str">
        <f aca="false">IF($B294="","",IFERROR(INDEX('Mẫu task'!$H$5:$H$64,MATCH($B294,'Mẫu task'!$A$5:$A$64,0)),""))</f>
        <v/>
      </c>
      <c r="J294" s="24" t="str">
        <f aca="false">IF(OR($H294="",$I294=""),"",$H294+$I294)</f>
        <v/>
      </c>
      <c r="K294" s="22"/>
      <c r="L294" s="20"/>
      <c r="M294" s="14" t="str">
        <f aca="true">IF($B294="","",IF($K294="Hoàn thành","Xong",IF($K294="Không áp dụng","—",IF($K294="Bị chặn","Bị chặn",IF($O294=1,"TRỄ "&amp;(TODAY()-$J294)&amp;" ngày",IF(AND($K294="Đang làm",$P294&gt;0),"Bước trước chưa xong",IF(AND($J294&lt;&gt;"",N($J294)-TODAY()&lt;=3),"Sắp đến hạn",IF($K294="Đang làm","Đang làm","Chưa bắt đầu"))))))))</f>
        <v/>
      </c>
      <c r="N294" s="25"/>
      <c r="O294" s="26" t="n">
        <f aca="true">IF(AND($B294&lt;&gt;"",$K294&lt;&gt;"Hoàn thành",$K294&lt;&gt;"Không áp dụng",$J294&lt;&gt;""),IF($J294&lt;TODAY(),1,0),0)</f>
        <v>0</v>
      </c>
      <c r="P294" s="26" t="n">
        <f aca="false">IF(AND($B294&lt;&gt;"",$C294&lt;&gt;"",N($C294)&gt;1),COUNTIFS(Task!$A$5:$A$404,$A294,Task!$C$5:$C$404,N($C294)-1,Task!$K$5:$K$404,"&lt;&gt;Hoàn thành",Task!$K$5:$K$404,"&lt;&gt;Không áp dụng"),0)</f>
        <v>0</v>
      </c>
    </row>
    <row r="295" customFormat="false" ht="15" hidden="false" customHeight="false" outlineLevel="0" collapsed="false">
      <c r="A295" s="19"/>
      <c r="B295" s="22"/>
      <c r="C295" s="14" t="str">
        <f aca="false">IF($B295="","",IFERROR(INDEX('Mẫu task'!$B$5:$B$64,MATCH($B295,'Mẫu task'!$A$5:$A$64,0)),""))</f>
        <v/>
      </c>
      <c r="D295" s="15" t="str">
        <f aca="false">IF($C295="","",IFERROR(INDEX('Quy trình'!$B$5:$B$12,MATCH($C295,'Quy trình'!$A$5:$A$12,0)),""))</f>
        <v/>
      </c>
      <c r="E295" s="23" t="str">
        <f aca="false">IF($B295="","",IFERROR(INDEX('Mẫu task'!$D$5:$D$64,MATCH($B295,'Mẫu task'!$A$5:$A$64,0)),""))</f>
        <v/>
      </c>
      <c r="F295" s="23" t="str">
        <f aca="false">IF($B295="","",IFERROR(INDEX('Mẫu task'!$E$5:$E$64,MATCH($B295,'Mẫu task'!$A$5:$A$64,0)),""))</f>
        <v/>
      </c>
      <c r="G295" s="19"/>
      <c r="H295" s="20"/>
      <c r="I295" s="14" t="str">
        <f aca="false">IF($B295="","",IFERROR(INDEX('Mẫu task'!$H$5:$H$64,MATCH($B295,'Mẫu task'!$A$5:$A$64,0)),""))</f>
        <v/>
      </c>
      <c r="J295" s="24" t="str">
        <f aca="false">IF(OR($H295="",$I295=""),"",$H295+$I295)</f>
        <v/>
      </c>
      <c r="K295" s="22"/>
      <c r="L295" s="20"/>
      <c r="M295" s="14" t="str">
        <f aca="true">IF($B295="","",IF($K295="Hoàn thành","Xong",IF($K295="Không áp dụng","—",IF($K295="Bị chặn","Bị chặn",IF($O295=1,"TRỄ "&amp;(TODAY()-$J295)&amp;" ngày",IF(AND($K295="Đang làm",$P295&gt;0),"Bước trước chưa xong",IF(AND($J295&lt;&gt;"",N($J295)-TODAY()&lt;=3),"Sắp đến hạn",IF($K295="Đang làm","Đang làm","Chưa bắt đầu"))))))))</f>
        <v/>
      </c>
      <c r="N295" s="25"/>
      <c r="O295" s="26" t="n">
        <f aca="true">IF(AND($B295&lt;&gt;"",$K295&lt;&gt;"Hoàn thành",$K295&lt;&gt;"Không áp dụng",$J295&lt;&gt;""),IF($J295&lt;TODAY(),1,0),0)</f>
        <v>0</v>
      </c>
      <c r="P295" s="26" t="n">
        <f aca="false">IF(AND($B295&lt;&gt;"",$C295&lt;&gt;"",N($C295)&gt;1),COUNTIFS(Task!$A$5:$A$404,$A295,Task!$C$5:$C$404,N($C295)-1,Task!$K$5:$K$404,"&lt;&gt;Hoàn thành",Task!$K$5:$K$404,"&lt;&gt;Không áp dụng"),0)</f>
        <v>0</v>
      </c>
    </row>
    <row r="296" customFormat="false" ht="15" hidden="false" customHeight="false" outlineLevel="0" collapsed="false">
      <c r="A296" s="19"/>
      <c r="B296" s="22"/>
      <c r="C296" s="14" t="str">
        <f aca="false">IF($B296="","",IFERROR(INDEX('Mẫu task'!$B$5:$B$64,MATCH($B296,'Mẫu task'!$A$5:$A$64,0)),""))</f>
        <v/>
      </c>
      <c r="D296" s="15" t="str">
        <f aca="false">IF($C296="","",IFERROR(INDEX('Quy trình'!$B$5:$B$12,MATCH($C296,'Quy trình'!$A$5:$A$12,0)),""))</f>
        <v/>
      </c>
      <c r="E296" s="23" t="str">
        <f aca="false">IF($B296="","",IFERROR(INDEX('Mẫu task'!$D$5:$D$64,MATCH($B296,'Mẫu task'!$A$5:$A$64,0)),""))</f>
        <v/>
      </c>
      <c r="F296" s="23" t="str">
        <f aca="false">IF($B296="","",IFERROR(INDEX('Mẫu task'!$E$5:$E$64,MATCH($B296,'Mẫu task'!$A$5:$A$64,0)),""))</f>
        <v/>
      </c>
      <c r="G296" s="19"/>
      <c r="H296" s="20"/>
      <c r="I296" s="14" t="str">
        <f aca="false">IF($B296="","",IFERROR(INDEX('Mẫu task'!$H$5:$H$64,MATCH($B296,'Mẫu task'!$A$5:$A$64,0)),""))</f>
        <v/>
      </c>
      <c r="J296" s="24" t="str">
        <f aca="false">IF(OR($H296="",$I296=""),"",$H296+$I296)</f>
        <v/>
      </c>
      <c r="K296" s="22"/>
      <c r="L296" s="20"/>
      <c r="M296" s="14" t="str">
        <f aca="true">IF($B296="","",IF($K296="Hoàn thành","Xong",IF($K296="Không áp dụng","—",IF($K296="Bị chặn","Bị chặn",IF($O296=1,"TRỄ "&amp;(TODAY()-$J296)&amp;" ngày",IF(AND($K296="Đang làm",$P296&gt;0),"Bước trước chưa xong",IF(AND($J296&lt;&gt;"",N($J296)-TODAY()&lt;=3),"Sắp đến hạn",IF($K296="Đang làm","Đang làm","Chưa bắt đầu"))))))))</f>
        <v/>
      </c>
      <c r="N296" s="25"/>
      <c r="O296" s="26" t="n">
        <f aca="true">IF(AND($B296&lt;&gt;"",$K296&lt;&gt;"Hoàn thành",$K296&lt;&gt;"Không áp dụng",$J296&lt;&gt;""),IF($J296&lt;TODAY(),1,0),0)</f>
        <v>0</v>
      </c>
      <c r="P296" s="26" t="n">
        <f aca="false">IF(AND($B296&lt;&gt;"",$C296&lt;&gt;"",N($C296)&gt;1),COUNTIFS(Task!$A$5:$A$404,$A296,Task!$C$5:$C$404,N($C296)-1,Task!$K$5:$K$404,"&lt;&gt;Hoàn thành",Task!$K$5:$K$404,"&lt;&gt;Không áp dụng"),0)</f>
        <v>0</v>
      </c>
    </row>
    <row r="297" customFormat="false" ht="15" hidden="false" customHeight="false" outlineLevel="0" collapsed="false">
      <c r="A297" s="19"/>
      <c r="B297" s="22"/>
      <c r="C297" s="14" t="str">
        <f aca="false">IF($B297="","",IFERROR(INDEX('Mẫu task'!$B$5:$B$64,MATCH($B297,'Mẫu task'!$A$5:$A$64,0)),""))</f>
        <v/>
      </c>
      <c r="D297" s="15" t="str">
        <f aca="false">IF($C297="","",IFERROR(INDEX('Quy trình'!$B$5:$B$12,MATCH($C297,'Quy trình'!$A$5:$A$12,0)),""))</f>
        <v/>
      </c>
      <c r="E297" s="23" t="str">
        <f aca="false">IF($B297="","",IFERROR(INDEX('Mẫu task'!$D$5:$D$64,MATCH($B297,'Mẫu task'!$A$5:$A$64,0)),""))</f>
        <v/>
      </c>
      <c r="F297" s="23" t="str">
        <f aca="false">IF($B297="","",IFERROR(INDEX('Mẫu task'!$E$5:$E$64,MATCH($B297,'Mẫu task'!$A$5:$A$64,0)),""))</f>
        <v/>
      </c>
      <c r="G297" s="19"/>
      <c r="H297" s="20"/>
      <c r="I297" s="14" t="str">
        <f aca="false">IF($B297="","",IFERROR(INDEX('Mẫu task'!$H$5:$H$64,MATCH($B297,'Mẫu task'!$A$5:$A$64,0)),""))</f>
        <v/>
      </c>
      <c r="J297" s="24" t="str">
        <f aca="false">IF(OR($H297="",$I297=""),"",$H297+$I297)</f>
        <v/>
      </c>
      <c r="K297" s="22"/>
      <c r="L297" s="20"/>
      <c r="M297" s="14" t="str">
        <f aca="true">IF($B297="","",IF($K297="Hoàn thành","Xong",IF($K297="Không áp dụng","—",IF($K297="Bị chặn","Bị chặn",IF($O297=1,"TRỄ "&amp;(TODAY()-$J297)&amp;" ngày",IF(AND($K297="Đang làm",$P297&gt;0),"Bước trước chưa xong",IF(AND($J297&lt;&gt;"",N($J297)-TODAY()&lt;=3),"Sắp đến hạn",IF($K297="Đang làm","Đang làm","Chưa bắt đầu"))))))))</f>
        <v/>
      </c>
      <c r="N297" s="25"/>
      <c r="O297" s="26" t="n">
        <f aca="true">IF(AND($B297&lt;&gt;"",$K297&lt;&gt;"Hoàn thành",$K297&lt;&gt;"Không áp dụng",$J297&lt;&gt;""),IF($J297&lt;TODAY(),1,0),0)</f>
        <v>0</v>
      </c>
      <c r="P297" s="26" t="n">
        <f aca="false">IF(AND($B297&lt;&gt;"",$C297&lt;&gt;"",N($C297)&gt;1),COUNTIFS(Task!$A$5:$A$404,$A297,Task!$C$5:$C$404,N($C297)-1,Task!$K$5:$K$404,"&lt;&gt;Hoàn thành",Task!$K$5:$K$404,"&lt;&gt;Không áp dụng"),0)</f>
        <v>0</v>
      </c>
    </row>
    <row r="298" customFormat="false" ht="15" hidden="false" customHeight="false" outlineLevel="0" collapsed="false">
      <c r="A298" s="19"/>
      <c r="B298" s="22"/>
      <c r="C298" s="14" t="str">
        <f aca="false">IF($B298="","",IFERROR(INDEX('Mẫu task'!$B$5:$B$64,MATCH($B298,'Mẫu task'!$A$5:$A$64,0)),""))</f>
        <v/>
      </c>
      <c r="D298" s="15" t="str">
        <f aca="false">IF($C298="","",IFERROR(INDEX('Quy trình'!$B$5:$B$12,MATCH($C298,'Quy trình'!$A$5:$A$12,0)),""))</f>
        <v/>
      </c>
      <c r="E298" s="23" t="str">
        <f aca="false">IF($B298="","",IFERROR(INDEX('Mẫu task'!$D$5:$D$64,MATCH($B298,'Mẫu task'!$A$5:$A$64,0)),""))</f>
        <v/>
      </c>
      <c r="F298" s="23" t="str">
        <f aca="false">IF($B298="","",IFERROR(INDEX('Mẫu task'!$E$5:$E$64,MATCH($B298,'Mẫu task'!$A$5:$A$64,0)),""))</f>
        <v/>
      </c>
      <c r="G298" s="19"/>
      <c r="H298" s="20"/>
      <c r="I298" s="14" t="str">
        <f aca="false">IF($B298="","",IFERROR(INDEX('Mẫu task'!$H$5:$H$64,MATCH($B298,'Mẫu task'!$A$5:$A$64,0)),""))</f>
        <v/>
      </c>
      <c r="J298" s="24" t="str">
        <f aca="false">IF(OR($H298="",$I298=""),"",$H298+$I298)</f>
        <v/>
      </c>
      <c r="K298" s="22"/>
      <c r="L298" s="20"/>
      <c r="M298" s="14" t="str">
        <f aca="true">IF($B298="","",IF($K298="Hoàn thành","Xong",IF($K298="Không áp dụng","—",IF($K298="Bị chặn","Bị chặn",IF($O298=1,"TRỄ "&amp;(TODAY()-$J298)&amp;" ngày",IF(AND($K298="Đang làm",$P298&gt;0),"Bước trước chưa xong",IF(AND($J298&lt;&gt;"",N($J298)-TODAY()&lt;=3),"Sắp đến hạn",IF($K298="Đang làm","Đang làm","Chưa bắt đầu"))))))))</f>
        <v/>
      </c>
      <c r="N298" s="25"/>
      <c r="O298" s="26" t="n">
        <f aca="true">IF(AND($B298&lt;&gt;"",$K298&lt;&gt;"Hoàn thành",$K298&lt;&gt;"Không áp dụng",$J298&lt;&gt;""),IF($J298&lt;TODAY(),1,0),0)</f>
        <v>0</v>
      </c>
      <c r="P298" s="26" t="n">
        <f aca="false">IF(AND($B298&lt;&gt;"",$C298&lt;&gt;"",N($C298)&gt;1),COUNTIFS(Task!$A$5:$A$404,$A298,Task!$C$5:$C$404,N($C298)-1,Task!$K$5:$K$404,"&lt;&gt;Hoàn thành",Task!$K$5:$K$404,"&lt;&gt;Không áp dụng"),0)</f>
        <v>0</v>
      </c>
    </row>
    <row r="299" customFormat="false" ht="15" hidden="false" customHeight="false" outlineLevel="0" collapsed="false">
      <c r="A299" s="19"/>
      <c r="B299" s="22"/>
      <c r="C299" s="14" t="str">
        <f aca="false">IF($B299="","",IFERROR(INDEX('Mẫu task'!$B$5:$B$64,MATCH($B299,'Mẫu task'!$A$5:$A$64,0)),""))</f>
        <v/>
      </c>
      <c r="D299" s="15" t="str">
        <f aca="false">IF($C299="","",IFERROR(INDEX('Quy trình'!$B$5:$B$12,MATCH($C299,'Quy trình'!$A$5:$A$12,0)),""))</f>
        <v/>
      </c>
      <c r="E299" s="23" t="str">
        <f aca="false">IF($B299="","",IFERROR(INDEX('Mẫu task'!$D$5:$D$64,MATCH($B299,'Mẫu task'!$A$5:$A$64,0)),""))</f>
        <v/>
      </c>
      <c r="F299" s="23" t="str">
        <f aca="false">IF($B299="","",IFERROR(INDEX('Mẫu task'!$E$5:$E$64,MATCH($B299,'Mẫu task'!$A$5:$A$64,0)),""))</f>
        <v/>
      </c>
      <c r="G299" s="19"/>
      <c r="H299" s="20"/>
      <c r="I299" s="14" t="str">
        <f aca="false">IF($B299="","",IFERROR(INDEX('Mẫu task'!$H$5:$H$64,MATCH($B299,'Mẫu task'!$A$5:$A$64,0)),""))</f>
        <v/>
      </c>
      <c r="J299" s="24" t="str">
        <f aca="false">IF(OR($H299="",$I299=""),"",$H299+$I299)</f>
        <v/>
      </c>
      <c r="K299" s="22"/>
      <c r="L299" s="20"/>
      <c r="M299" s="14" t="str">
        <f aca="true">IF($B299="","",IF($K299="Hoàn thành","Xong",IF($K299="Không áp dụng","—",IF($K299="Bị chặn","Bị chặn",IF($O299=1,"TRỄ "&amp;(TODAY()-$J299)&amp;" ngày",IF(AND($K299="Đang làm",$P299&gt;0),"Bước trước chưa xong",IF(AND($J299&lt;&gt;"",N($J299)-TODAY()&lt;=3),"Sắp đến hạn",IF($K299="Đang làm","Đang làm","Chưa bắt đầu"))))))))</f>
        <v/>
      </c>
      <c r="N299" s="25"/>
      <c r="O299" s="26" t="n">
        <f aca="true">IF(AND($B299&lt;&gt;"",$K299&lt;&gt;"Hoàn thành",$K299&lt;&gt;"Không áp dụng",$J299&lt;&gt;""),IF($J299&lt;TODAY(),1,0),0)</f>
        <v>0</v>
      </c>
      <c r="P299" s="26" t="n">
        <f aca="false">IF(AND($B299&lt;&gt;"",$C299&lt;&gt;"",N($C299)&gt;1),COUNTIFS(Task!$A$5:$A$404,$A299,Task!$C$5:$C$404,N($C299)-1,Task!$K$5:$K$404,"&lt;&gt;Hoàn thành",Task!$K$5:$K$404,"&lt;&gt;Không áp dụng"),0)</f>
        <v>0</v>
      </c>
    </row>
    <row r="300" customFormat="false" ht="15" hidden="false" customHeight="false" outlineLevel="0" collapsed="false">
      <c r="A300" s="19"/>
      <c r="B300" s="22"/>
      <c r="C300" s="14" t="str">
        <f aca="false">IF($B300="","",IFERROR(INDEX('Mẫu task'!$B$5:$B$64,MATCH($B300,'Mẫu task'!$A$5:$A$64,0)),""))</f>
        <v/>
      </c>
      <c r="D300" s="15" t="str">
        <f aca="false">IF($C300="","",IFERROR(INDEX('Quy trình'!$B$5:$B$12,MATCH($C300,'Quy trình'!$A$5:$A$12,0)),""))</f>
        <v/>
      </c>
      <c r="E300" s="23" t="str">
        <f aca="false">IF($B300="","",IFERROR(INDEX('Mẫu task'!$D$5:$D$64,MATCH($B300,'Mẫu task'!$A$5:$A$64,0)),""))</f>
        <v/>
      </c>
      <c r="F300" s="23" t="str">
        <f aca="false">IF($B300="","",IFERROR(INDEX('Mẫu task'!$E$5:$E$64,MATCH($B300,'Mẫu task'!$A$5:$A$64,0)),""))</f>
        <v/>
      </c>
      <c r="G300" s="19"/>
      <c r="H300" s="20"/>
      <c r="I300" s="14" t="str">
        <f aca="false">IF($B300="","",IFERROR(INDEX('Mẫu task'!$H$5:$H$64,MATCH($B300,'Mẫu task'!$A$5:$A$64,0)),""))</f>
        <v/>
      </c>
      <c r="J300" s="24" t="str">
        <f aca="false">IF(OR($H300="",$I300=""),"",$H300+$I300)</f>
        <v/>
      </c>
      <c r="K300" s="22"/>
      <c r="L300" s="20"/>
      <c r="M300" s="14" t="str">
        <f aca="true">IF($B300="","",IF($K300="Hoàn thành","Xong",IF($K300="Không áp dụng","—",IF($K300="Bị chặn","Bị chặn",IF($O300=1,"TRỄ "&amp;(TODAY()-$J300)&amp;" ngày",IF(AND($K300="Đang làm",$P300&gt;0),"Bước trước chưa xong",IF(AND($J300&lt;&gt;"",N($J300)-TODAY()&lt;=3),"Sắp đến hạn",IF($K300="Đang làm","Đang làm","Chưa bắt đầu"))))))))</f>
        <v/>
      </c>
      <c r="N300" s="25"/>
      <c r="O300" s="26" t="n">
        <f aca="true">IF(AND($B300&lt;&gt;"",$K300&lt;&gt;"Hoàn thành",$K300&lt;&gt;"Không áp dụng",$J300&lt;&gt;""),IF($J300&lt;TODAY(),1,0),0)</f>
        <v>0</v>
      </c>
      <c r="P300" s="26" t="n">
        <f aca="false">IF(AND($B300&lt;&gt;"",$C300&lt;&gt;"",N($C300)&gt;1),COUNTIFS(Task!$A$5:$A$404,$A300,Task!$C$5:$C$404,N($C300)-1,Task!$K$5:$K$404,"&lt;&gt;Hoàn thành",Task!$K$5:$K$404,"&lt;&gt;Không áp dụng"),0)</f>
        <v>0</v>
      </c>
    </row>
    <row r="301" customFormat="false" ht="15" hidden="false" customHeight="false" outlineLevel="0" collapsed="false">
      <c r="A301" s="19"/>
      <c r="B301" s="22"/>
      <c r="C301" s="14" t="str">
        <f aca="false">IF($B301="","",IFERROR(INDEX('Mẫu task'!$B$5:$B$64,MATCH($B301,'Mẫu task'!$A$5:$A$64,0)),""))</f>
        <v/>
      </c>
      <c r="D301" s="15" t="str">
        <f aca="false">IF($C301="","",IFERROR(INDEX('Quy trình'!$B$5:$B$12,MATCH($C301,'Quy trình'!$A$5:$A$12,0)),""))</f>
        <v/>
      </c>
      <c r="E301" s="23" t="str">
        <f aca="false">IF($B301="","",IFERROR(INDEX('Mẫu task'!$D$5:$D$64,MATCH($B301,'Mẫu task'!$A$5:$A$64,0)),""))</f>
        <v/>
      </c>
      <c r="F301" s="23" t="str">
        <f aca="false">IF($B301="","",IFERROR(INDEX('Mẫu task'!$E$5:$E$64,MATCH($B301,'Mẫu task'!$A$5:$A$64,0)),""))</f>
        <v/>
      </c>
      <c r="G301" s="19"/>
      <c r="H301" s="20"/>
      <c r="I301" s="14" t="str">
        <f aca="false">IF($B301="","",IFERROR(INDEX('Mẫu task'!$H$5:$H$64,MATCH($B301,'Mẫu task'!$A$5:$A$64,0)),""))</f>
        <v/>
      </c>
      <c r="J301" s="24" t="str">
        <f aca="false">IF(OR($H301="",$I301=""),"",$H301+$I301)</f>
        <v/>
      </c>
      <c r="K301" s="22"/>
      <c r="L301" s="20"/>
      <c r="M301" s="14" t="str">
        <f aca="true">IF($B301="","",IF($K301="Hoàn thành","Xong",IF($K301="Không áp dụng","—",IF($K301="Bị chặn","Bị chặn",IF($O301=1,"TRỄ "&amp;(TODAY()-$J301)&amp;" ngày",IF(AND($K301="Đang làm",$P301&gt;0),"Bước trước chưa xong",IF(AND($J301&lt;&gt;"",N($J301)-TODAY()&lt;=3),"Sắp đến hạn",IF($K301="Đang làm","Đang làm","Chưa bắt đầu"))))))))</f>
        <v/>
      </c>
      <c r="N301" s="25"/>
      <c r="O301" s="26" t="n">
        <f aca="true">IF(AND($B301&lt;&gt;"",$K301&lt;&gt;"Hoàn thành",$K301&lt;&gt;"Không áp dụng",$J301&lt;&gt;""),IF($J301&lt;TODAY(),1,0),0)</f>
        <v>0</v>
      </c>
      <c r="P301" s="26" t="n">
        <f aca="false">IF(AND($B301&lt;&gt;"",$C301&lt;&gt;"",N($C301)&gt;1),COUNTIFS(Task!$A$5:$A$404,$A301,Task!$C$5:$C$404,N($C301)-1,Task!$K$5:$K$404,"&lt;&gt;Hoàn thành",Task!$K$5:$K$404,"&lt;&gt;Không áp dụng"),0)</f>
        <v>0</v>
      </c>
    </row>
    <row r="302" customFormat="false" ht="15" hidden="false" customHeight="false" outlineLevel="0" collapsed="false">
      <c r="A302" s="19"/>
      <c r="B302" s="22"/>
      <c r="C302" s="14" t="str">
        <f aca="false">IF($B302="","",IFERROR(INDEX('Mẫu task'!$B$5:$B$64,MATCH($B302,'Mẫu task'!$A$5:$A$64,0)),""))</f>
        <v/>
      </c>
      <c r="D302" s="15" t="str">
        <f aca="false">IF($C302="","",IFERROR(INDEX('Quy trình'!$B$5:$B$12,MATCH($C302,'Quy trình'!$A$5:$A$12,0)),""))</f>
        <v/>
      </c>
      <c r="E302" s="23" t="str">
        <f aca="false">IF($B302="","",IFERROR(INDEX('Mẫu task'!$D$5:$D$64,MATCH($B302,'Mẫu task'!$A$5:$A$64,0)),""))</f>
        <v/>
      </c>
      <c r="F302" s="23" t="str">
        <f aca="false">IF($B302="","",IFERROR(INDEX('Mẫu task'!$E$5:$E$64,MATCH($B302,'Mẫu task'!$A$5:$A$64,0)),""))</f>
        <v/>
      </c>
      <c r="G302" s="19"/>
      <c r="H302" s="20"/>
      <c r="I302" s="14" t="str">
        <f aca="false">IF($B302="","",IFERROR(INDEX('Mẫu task'!$H$5:$H$64,MATCH($B302,'Mẫu task'!$A$5:$A$64,0)),""))</f>
        <v/>
      </c>
      <c r="J302" s="24" t="str">
        <f aca="false">IF(OR($H302="",$I302=""),"",$H302+$I302)</f>
        <v/>
      </c>
      <c r="K302" s="22"/>
      <c r="L302" s="20"/>
      <c r="M302" s="14" t="str">
        <f aca="true">IF($B302="","",IF($K302="Hoàn thành","Xong",IF($K302="Không áp dụng","—",IF($K302="Bị chặn","Bị chặn",IF($O302=1,"TRỄ "&amp;(TODAY()-$J302)&amp;" ngày",IF(AND($K302="Đang làm",$P302&gt;0),"Bước trước chưa xong",IF(AND($J302&lt;&gt;"",N($J302)-TODAY()&lt;=3),"Sắp đến hạn",IF($K302="Đang làm","Đang làm","Chưa bắt đầu"))))))))</f>
        <v/>
      </c>
      <c r="N302" s="25"/>
      <c r="O302" s="26" t="n">
        <f aca="true">IF(AND($B302&lt;&gt;"",$K302&lt;&gt;"Hoàn thành",$K302&lt;&gt;"Không áp dụng",$J302&lt;&gt;""),IF($J302&lt;TODAY(),1,0),0)</f>
        <v>0</v>
      </c>
      <c r="P302" s="26" t="n">
        <f aca="false">IF(AND($B302&lt;&gt;"",$C302&lt;&gt;"",N($C302)&gt;1),COUNTIFS(Task!$A$5:$A$404,$A302,Task!$C$5:$C$404,N($C302)-1,Task!$K$5:$K$404,"&lt;&gt;Hoàn thành",Task!$K$5:$K$404,"&lt;&gt;Không áp dụng"),0)</f>
        <v>0</v>
      </c>
    </row>
    <row r="303" customFormat="false" ht="15" hidden="false" customHeight="false" outlineLevel="0" collapsed="false">
      <c r="A303" s="19"/>
      <c r="B303" s="22"/>
      <c r="C303" s="14" t="str">
        <f aca="false">IF($B303="","",IFERROR(INDEX('Mẫu task'!$B$5:$B$64,MATCH($B303,'Mẫu task'!$A$5:$A$64,0)),""))</f>
        <v/>
      </c>
      <c r="D303" s="15" t="str">
        <f aca="false">IF($C303="","",IFERROR(INDEX('Quy trình'!$B$5:$B$12,MATCH($C303,'Quy trình'!$A$5:$A$12,0)),""))</f>
        <v/>
      </c>
      <c r="E303" s="23" t="str">
        <f aca="false">IF($B303="","",IFERROR(INDEX('Mẫu task'!$D$5:$D$64,MATCH($B303,'Mẫu task'!$A$5:$A$64,0)),""))</f>
        <v/>
      </c>
      <c r="F303" s="23" t="str">
        <f aca="false">IF($B303="","",IFERROR(INDEX('Mẫu task'!$E$5:$E$64,MATCH($B303,'Mẫu task'!$A$5:$A$64,0)),""))</f>
        <v/>
      </c>
      <c r="G303" s="19"/>
      <c r="H303" s="20"/>
      <c r="I303" s="14" t="str">
        <f aca="false">IF($B303="","",IFERROR(INDEX('Mẫu task'!$H$5:$H$64,MATCH($B303,'Mẫu task'!$A$5:$A$64,0)),""))</f>
        <v/>
      </c>
      <c r="J303" s="24" t="str">
        <f aca="false">IF(OR($H303="",$I303=""),"",$H303+$I303)</f>
        <v/>
      </c>
      <c r="K303" s="22"/>
      <c r="L303" s="20"/>
      <c r="M303" s="14" t="str">
        <f aca="true">IF($B303="","",IF($K303="Hoàn thành","Xong",IF($K303="Không áp dụng","—",IF($K303="Bị chặn","Bị chặn",IF($O303=1,"TRỄ "&amp;(TODAY()-$J303)&amp;" ngày",IF(AND($K303="Đang làm",$P303&gt;0),"Bước trước chưa xong",IF(AND($J303&lt;&gt;"",N($J303)-TODAY()&lt;=3),"Sắp đến hạn",IF($K303="Đang làm","Đang làm","Chưa bắt đầu"))))))))</f>
        <v/>
      </c>
      <c r="N303" s="25"/>
      <c r="O303" s="26" t="n">
        <f aca="true">IF(AND($B303&lt;&gt;"",$K303&lt;&gt;"Hoàn thành",$K303&lt;&gt;"Không áp dụng",$J303&lt;&gt;""),IF($J303&lt;TODAY(),1,0),0)</f>
        <v>0</v>
      </c>
      <c r="P303" s="26" t="n">
        <f aca="false">IF(AND($B303&lt;&gt;"",$C303&lt;&gt;"",N($C303)&gt;1),COUNTIFS(Task!$A$5:$A$404,$A303,Task!$C$5:$C$404,N($C303)-1,Task!$K$5:$K$404,"&lt;&gt;Hoàn thành",Task!$K$5:$K$404,"&lt;&gt;Không áp dụng"),0)</f>
        <v>0</v>
      </c>
    </row>
    <row r="304" customFormat="false" ht="15" hidden="false" customHeight="false" outlineLevel="0" collapsed="false">
      <c r="A304" s="19"/>
      <c r="B304" s="22"/>
      <c r="C304" s="14" t="str">
        <f aca="false">IF($B304="","",IFERROR(INDEX('Mẫu task'!$B$5:$B$64,MATCH($B304,'Mẫu task'!$A$5:$A$64,0)),""))</f>
        <v/>
      </c>
      <c r="D304" s="15" t="str">
        <f aca="false">IF($C304="","",IFERROR(INDEX('Quy trình'!$B$5:$B$12,MATCH($C304,'Quy trình'!$A$5:$A$12,0)),""))</f>
        <v/>
      </c>
      <c r="E304" s="23" t="str">
        <f aca="false">IF($B304="","",IFERROR(INDEX('Mẫu task'!$D$5:$D$64,MATCH($B304,'Mẫu task'!$A$5:$A$64,0)),""))</f>
        <v/>
      </c>
      <c r="F304" s="23" t="str">
        <f aca="false">IF($B304="","",IFERROR(INDEX('Mẫu task'!$E$5:$E$64,MATCH($B304,'Mẫu task'!$A$5:$A$64,0)),""))</f>
        <v/>
      </c>
      <c r="G304" s="19"/>
      <c r="H304" s="20"/>
      <c r="I304" s="14" t="str">
        <f aca="false">IF($B304="","",IFERROR(INDEX('Mẫu task'!$H$5:$H$64,MATCH($B304,'Mẫu task'!$A$5:$A$64,0)),""))</f>
        <v/>
      </c>
      <c r="J304" s="24" t="str">
        <f aca="false">IF(OR($H304="",$I304=""),"",$H304+$I304)</f>
        <v/>
      </c>
      <c r="K304" s="22"/>
      <c r="L304" s="20"/>
      <c r="M304" s="14" t="str">
        <f aca="true">IF($B304="","",IF($K304="Hoàn thành","Xong",IF($K304="Không áp dụng","—",IF($K304="Bị chặn","Bị chặn",IF($O304=1,"TRỄ "&amp;(TODAY()-$J304)&amp;" ngày",IF(AND($K304="Đang làm",$P304&gt;0),"Bước trước chưa xong",IF(AND($J304&lt;&gt;"",N($J304)-TODAY()&lt;=3),"Sắp đến hạn",IF($K304="Đang làm","Đang làm","Chưa bắt đầu"))))))))</f>
        <v/>
      </c>
      <c r="N304" s="25"/>
      <c r="O304" s="26" t="n">
        <f aca="true">IF(AND($B304&lt;&gt;"",$K304&lt;&gt;"Hoàn thành",$K304&lt;&gt;"Không áp dụng",$J304&lt;&gt;""),IF($J304&lt;TODAY(),1,0),0)</f>
        <v>0</v>
      </c>
      <c r="P304" s="26" t="n">
        <f aca="false">IF(AND($B304&lt;&gt;"",$C304&lt;&gt;"",N($C304)&gt;1),COUNTIFS(Task!$A$5:$A$404,$A304,Task!$C$5:$C$404,N($C304)-1,Task!$K$5:$K$404,"&lt;&gt;Hoàn thành",Task!$K$5:$K$404,"&lt;&gt;Không áp dụng"),0)</f>
        <v>0</v>
      </c>
    </row>
    <row r="305" customFormat="false" ht="15" hidden="false" customHeight="false" outlineLevel="0" collapsed="false">
      <c r="A305" s="19"/>
      <c r="B305" s="22"/>
      <c r="C305" s="14" t="str">
        <f aca="false">IF($B305="","",IFERROR(INDEX('Mẫu task'!$B$5:$B$64,MATCH($B305,'Mẫu task'!$A$5:$A$64,0)),""))</f>
        <v/>
      </c>
      <c r="D305" s="15" t="str">
        <f aca="false">IF($C305="","",IFERROR(INDEX('Quy trình'!$B$5:$B$12,MATCH($C305,'Quy trình'!$A$5:$A$12,0)),""))</f>
        <v/>
      </c>
      <c r="E305" s="23" t="str">
        <f aca="false">IF($B305="","",IFERROR(INDEX('Mẫu task'!$D$5:$D$64,MATCH($B305,'Mẫu task'!$A$5:$A$64,0)),""))</f>
        <v/>
      </c>
      <c r="F305" s="23" t="str">
        <f aca="false">IF($B305="","",IFERROR(INDEX('Mẫu task'!$E$5:$E$64,MATCH($B305,'Mẫu task'!$A$5:$A$64,0)),""))</f>
        <v/>
      </c>
      <c r="G305" s="19"/>
      <c r="H305" s="20"/>
      <c r="I305" s="14" t="str">
        <f aca="false">IF($B305="","",IFERROR(INDEX('Mẫu task'!$H$5:$H$64,MATCH($B305,'Mẫu task'!$A$5:$A$64,0)),""))</f>
        <v/>
      </c>
      <c r="J305" s="24" t="str">
        <f aca="false">IF(OR($H305="",$I305=""),"",$H305+$I305)</f>
        <v/>
      </c>
      <c r="K305" s="22"/>
      <c r="L305" s="20"/>
      <c r="M305" s="14" t="str">
        <f aca="true">IF($B305="","",IF($K305="Hoàn thành","Xong",IF($K305="Không áp dụng","—",IF($K305="Bị chặn","Bị chặn",IF($O305=1,"TRỄ "&amp;(TODAY()-$J305)&amp;" ngày",IF(AND($K305="Đang làm",$P305&gt;0),"Bước trước chưa xong",IF(AND($J305&lt;&gt;"",N($J305)-TODAY()&lt;=3),"Sắp đến hạn",IF($K305="Đang làm","Đang làm","Chưa bắt đầu"))))))))</f>
        <v/>
      </c>
      <c r="N305" s="25"/>
      <c r="O305" s="26" t="n">
        <f aca="true">IF(AND($B305&lt;&gt;"",$K305&lt;&gt;"Hoàn thành",$K305&lt;&gt;"Không áp dụng",$J305&lt;&gt;""),IF($J305&lt;TODAY(),1,0),0)</f>
        <v>0</v>
      </c>
      <c r="P305" s="26" t="n">
        <f aca="false">IF(AND($B305&lt;&gt;"",$C305&lt;&gt;"",N($C305)&gt;1),COUNTIFS(Task!$A$5:$A$404,$A305,Task!$C$5:$C$404,N($C305)-1,Task!$K$5:$K$404,"&lt;&gt;Hoàn thành",Task!$K$5:$K$404,"&lt;&gt;Không áp dụng"),0)</f>
        <v>0</v>
      </c>
    </row>
    <row r="306" customFormat="false" ht="15" hidden="false" customHeight="false" outlineLevel="0" collapsed="false">
      <c r="A306" s="19"/>
      <c r="B306" s="22"/>
      <c r="C306" s="14" t="str">
        <f aca="false">IF($B306="","",IFERROR(INDEX('Mẫu task'!$B$5:$B$64,MATCH($B306,'Mẫu task'!$A$5:$A$64,0)),""))</f>
        <v/>
      </c>
      <c r="D306" s="15" t="str">
        <f aca="false">IF($C306="","",IFERROR(INDEX('Quy trình'!$B$5:$B$12,MATCH($C306,'Quy trình'!$A$5:$A$12,0)),""))</f>
        <v/>
      </c>
      <c r="E306" s="23" t="str">
        <f aca="false">IF($B306="","",IFERROR(INDEX('Mẫu task'!$D$5:$D$64,MATCH($B306,'Mẫu task'!$A$5:$A$64,0)),""))</f>
        <v/>
      </c>
      <c r="F306" s="23" t="str">
        <f aca="false">IF($B306="","",IFERROR(INDEX('Mẫu task'!$E$5:$E$64,MATCH($B306,'Mẫu task'!$A$5:$A$64,0)),""))</f>
        <v/>
      </c>
      <c r="G306" s="19"/>
      <c r="H306" s="20"/>
      <c r="I306" s="14" t="str">
        <f aca="false">IF($B306="","",IFERROR(INDEX('Mẫu task'!$H$5:$H$64,MATCH($B306,'Mẫu task'!$A$5:$A$64,0)),""))</f>
        <v/>
      </c>
      <c r="J306" s="24" t="str">
        <f aca="false">IF(OR($H306="",$I306=""),"",$H306+$I306)</f>
        <v/>
      </c>
      <c r="K306" s="22"/>
      <c r="L306" s="20"/>
      <c r="M306" s="14" t="str">
        <f aca="true">IF($B306="","",IF($K306="Hoàn thành","Xong",IF($K306="Không áp dụng","—",IF($K306="Bị chặn","Bị chặn",IF($O306=1,"TRỄ "&amp;(TODAY()-$J306)&amp;" ngày",IF(AND($K306="Đang làm",$P306&gt;0),"Bước trước chưa xong",IF(AND($J306&lt;&gt;"",N($J306)-TODAY()&lt;=3),"Sắp đến hạn",IF($K306="Đang làm","Đang làm","Chưa bắt đầu"))))))))</f>
        <v/>
      </c>
      <c r="N306" s="25"/>
      <c r="O306" s="26" t="n">
        <f aca="true">IF(AND($B306&lt;&gt;"",$K306&lt;&gt;"Hoàn thành",$K306&lt;&gt;"Không áp dụng",$J306&lt;&gt;""),IF($J306&lt;TODAY(),1,0),0)</f>
        <v>0</v>
      </c>
      <c r="P306" s="26" t="n">
        <f aca="false">IF(AND($B306&lt;&gt;"",$C306&lt;&gt;"",N($C306)&gt;1),COUNTIFS(Task!$A$5:$A$404,$A306,Task!$C$5:$C$404,N($C306)-1,Task!$K$5:$K$404,"&lt;&gt;Hoàn thành",Task!$K$5:$K$404,"&lt;&gt;Không áp dụng"),0)</f>
        <v>0</v>
      </c>
    </row>
    <row r="307" customFormat="false" ht="15" hidden="false" customHeight="false" outlineLevel="0" collapsed="false">
      <c r="A307" s="19"/>
      <c r="B307" s="22"/>
      <c r="C307" s="14" t="str">
        <f aca="false">IF($B307="","",IFERROR(INDEX('Mẫu task'!$B$5:$B$64,MATCH($B307,'Mẫu task'!$A$5:$A$64,0)),""))</f>
        <v/>
      </c>
      <c r="D307" s="15" t="str">
        <f aca="false">IF($C307="","",IFERROR(INDEX('Quy trình'!$B$5:$B$12,MATCH($C307,'Quy trình'!$A$5:$A$12,0)),""))</f>
        <v/>
      </c>
      <c r="E307" s="23" t="str">
        <f aca="false">IF($B307="","",IFERROR(INDEX('Mẫu task'!$D$5:$D$64,MATCH($B307,'Mẫu task'!$A$5:$A$64,0)),""))</f>
        <v/>
      </c>
      <c r="F307" s="23" t="str">
        <f aca="false">IF($B307="","",IFERROR(INDEX('Mẫu task'!$E$5:$E$64,MATCH($B307,'Mẫu task'!$A$5:$A$64,0)),""))</f>
        <v/>
      </c>
      <c r="G307" s="19"/>
      <c r="H307" s="20"/>
      <c r="I307" s="14" t="str">
        <f aca="false">IF($B307="","",IFERROR(INDEX('Mẫu task'!$H$5:$H$64,MATCH($B307,'Mẫu task'!$A$5:$A$64,0)),""))</f>
        <v/>
      </c>
      <c r="J307" s="24" t="str">
        <f aca="false">IF(OR($H307="",$I307=""),"",$H307+$I307)</f>
        <v/>
      </c>
      <c r="K307" s="22"/>
      <c r="L307" s="20"/>
      <c r="M307" s="14" t="str">
        <f aca="true">IF($B307="","",IF($K307="Hoàn thành","Xong",IF($K307="Không áp dụng","—",IF($K307="Bị chặn","Bị chặn",IF($O307=1,"TRỄ "&amp;(TODAY()-$J307)&amp;" ngày",IF(AND($K307="Đang làm",$P307&gt;0),"Bước trước chưa xong",IF(AND($J307&lt;&gt;"",N($J307)-TODAY()&lt;=3),"Sắp đến hạn",IF($K307="Đang làm","Đang làm","Chưa bắt đầu"))))))))</f>
        <v/>
      </c>
      <c r="N307" s="25"/>
      <c r="O307" s="26" t="n">
        <f aca="true">IF(AND($B307&lt;&gt;"",$K307&lt;&gt;"Hoàn thành",$K307&lt;&gt;"Không áp dụng",$J307&lt;&gt;""),IF($J307&lt;TODAY(),1,0),0)</f>
        <v>0</v>
      </c>
      <c r="P307" s="26" t="n">
        <f aca="false">IF(AND($B307&lt;&gt;"",$C307&lt;&gt;"",N($C307)&gt;1),COUNTIFS(Task!$A$5:$A$404,$A307,Task!$C$5:$C$404,N($C307)-1,Task!$K$5:$K$404,"&lt;&gt;Hoàn thành",Task!$K$5:$K$404,"&lt;&gt;Không áp dụng"),0)</f>
        <v>0</v>
      </c>
    </row>
    <row r="308" customFormat="false" ht="15" hidden="false" customHeight="false" outlineLevel="0" collapsed="false">
      <c r="A308" s="19"/>
      <c r="B308" s="22"/>
      <c r="C308" s="14" t="str">
        <f aca="false">IF($B308="","",IFERROR(INDEX('Mẫu task'!$B$5:$B$64,MATCH($B308,'Mẫu task'!$A$5:$A$64,0)),""))</f>
        <v/>
      </c>
      <c r="D308" s="15" t="str">
        <f aca="false">IF($C308="","",IFERROR(INDEX('Quy trình'!$B$5:$B$12,MATCH($C308,'Quy trình'!$A$5:$A$12,0)),""))</f>
        <v/>
      </c>
      <c r="E308" s="23" t="str">
        <f aca="false">IF($B308="","",IFERROR(INDEX('Mẫu task'!$D$5:$D$64,MATCH($B308,'Mẫu task'!$A$5:$A$64,0)),""))</f>
        <v/>
      </c>
      <c r="F308" s="23" t="str">
        <f aca="false">IF($B308="","",IFERROR(INDEX('Mẫu task'!$E$5:$E$64,MATCH($B308,'Mẫu task'!$A$5:$A$64,0)),""))</f>
        <v/>
      </c>
      <c r="G308" s="19"/>
      <c r="H308" s="20"/>
      <c r="I308" s="14" t="str">
        <f aca="false">IF($B308="","",IFERROR(INDEX('Mẫu task'!$H$5:$H$64,MATCH($B308,'Mẫu task'!$A$5:$A$64,0)),""))</f>
        <v/>
      </c>
      <c r="J308" s="24" t="str">
        <f aca="false">IF(OR($H308="",$I308=""),"",$H308+$I308)</f>
        <v/>
      </c>
      <c r="K308" s="22"/>
      <c r="L308" s="20"/>
      <c r="M308" s="14" t="str">
        <f aca="true">IF($B308="","",IF($K308="Hoàn thành","Xong",IF($K308="Không áp dụng","—",IF($K308="Bị chặn","Bị chặn",IF($O308=1,"TRỄ "&amp;(TODAY()-$J308)&amp;" ngày",IF(AND($K308="Đang làm",$P308&gt;0),"Bước trước chưa xong",IF(AND($J308&lt;&gt;"",N($J308)-TODAY()&lt;=3),"Sắp đến hạn",IF($K308="Đang làm","Đang làm","Chưa bắt đầu"))))))))</f>
        <v/>
      </c>
      <c r="N308" s="25"/>
      <c r="O308" s="26" t="n">
        <f aca="true">IF(AND($B308&lt;&gt;"",$K308&lt;&gt;"Hoàn thành",$K308&lt;&gt;"Không áp dụng",$J308&lt;&gt;""),IF($J308&lt;TODAY(),1,0),0)</f>
        <v>0</v>
      </c>
      <c r="P308" s="26" t="n">
        <f aca="false">IF(AND($B308&lt;&gt;"",$C308&lt;&gt;"",N($C308)&gt;1),COUNTIFS(Task!$A$5:$A$404,$A308,Task!$C$5:$C$404,N($C308)-1,Task!$K$5:$K$404,"&lt;&gt;Hoàn thành",Task!$K$5:$K$404,"&lt;&gt;Không áp dụng"),0)</f>
        <v>0</v>
      </c>
    </row>
    <row r="309" customFormat="false" ht="15" hidden="false" customHeight="false" outlineLevel="0" collapsed="false">
      <c r="A309" s="19"/>
      <c r="B309" s="22"/>
      <c r="C309" s="14" t="str">
        <f aca="false">IF($B309="","",IFERROR(INDEX('Mẫu task'!$B$5:$B$64,MATCH($B309,'Mẫu task'!$A$5:$A$64,0)),""))</f>
        <v/>
      </c>
      <c r="D309" s="15" t="str">
        <f aca="false">IF($C309="","",IFERROR(INDEX('Quy trình'!$B$5:$B$12,MATCH($C309,'Quy trình'!$A$5:$A$12,0)),""))</f>
        <v/>
      </c>
      <c r="E309" s="23" t="str">
        <f aca="false">IF($B309="","",IFERROR(INDEX('Mẫu task'!$D$5:$D$64,MATCH($B309,'Mẫu task'!$A$5:$A$64,0)),""))</f>
        <v/>
      </c>
      <c r="F309" s="23" t="str">
        <f aca="false">IF($B309="","",IFERROR(INDEX('Mẫu task'!$E$5:$E$64,MATCH($B309,'Mẫu task'!$A$5:$A$64,0)),""))</f>
        <v/>
      </c>
      <c r="G309" s="19"/>
      <c r="H309" s="20"/>
      <c r="I309" s="14" t="str">
        <f aca="false">IF($B309="","",IFERROR(INDEX('Mẫu task'!$H$5:$H$64,MATCH($B309,'Mẫu task'!$A$5:$A$64,0)),""))</f>
        <v/>
      </c>
      <c r="J309" s="24" t="str">
        <f aca="false">IF(OR($H309="",$I309=""),"",$H309+$I309)</f>
        <v/>
      </c>
      <c r="K309" s="22"/>
      <c r="L309" s="20"/>
      <c r="M309" s="14" t="str">
        <f aca="true">IF($B309="","",IF($K309="Hoàn thành","Xong",IF($K309="Không áp dụng","—",IF($K309="Bị chặn","Bị chặn",IF($O309=1,"TRỄ "&amp;(TODAY()-$J309)&amp;" ngày",IF(AND($K309="Đang làm",$P309&gt;0),"Bước trước chưa xong",IF(AND($J309&lt;&gt;"",N($J309)-TODAY()&lt;=3),"Sắp đến hạn",IF($K309="Đang làm","Đang làm","Chưa bắt đầu"))))))))</f>
        <v/>
      </c>
      <c r="N309" s="25"/>
      <c r="O309" s="26" t="n">
        <f aca="true">IF(AND($B309&lt;&gt;"",$K309&lt;&gt;"Hoàn thành",$K309&lt;&gt;"Không áp dụng",$J309&lt;&gt;""),IF($J309&lt;TODAY(),1,0),0)</f>
        <v>0</v>
      </c>
      <c r="P309" s="26" t="n">
        <f aca="false">IF(AND($B309&lt;&gt;"",$C309&lt;&gt;"",N($C309)&gt;1),COUNTIFS(Task!$A$5:$A$404,$A309,Task!$C$5:$C$404,N($C309)-1,Task!$K$5:$K$404,"&lt;&gt;Hoàn thành",Task!$K$5:$K$404,"&lt;&gt;Không áp dụng"),0)</f>
        <v>0</v>
      </c>
    </row>
    <row r="310" customFormat="false" ht="15" hidden="false" customHeight="false" outlineLevel="0" collapsed="false">
      <c r="A310" s="19"/>
      <c r="B310" s="22"/>
      <c r="C310" s="14" t="str">
        <f aca="false">IF($B310="","",IFERROR(INDEX('Mẫu task'!$B$5:$B$64,MATCH($B310,'Mẫu task'!$A$5:$A$64,0)),""))</f>
        <v/>
      </c>
      <c r="D310" s="15" t="str">
        <f aca="false">IF($C310="","",IFERROR(INDEX('Quy trình'!$B$5:$B$12,MATCH($C310,'Quy trình'!$A$5:$A$12,0)),""))</f>
        <v/>
      </c>
      <c r="E310" s="23" t="str">
        <f aca="false">IF($B310="","",IFERROR(INDEX('Mẫu task'!$D$5:$D$64,MATCH($B310,'Mẫu task'!$A$5:$A$64,0)),""))</f>
        <v/>
      </c>
      <c r="F310" s="23" t="str">
        <f aca="false">IF($B310="","",IFERROR(INDEX('Mẫu task'!$E$5:$E$64,MATCH($B310,'Mẫu task'!$A$5:$A$64,0)),""))</f>
        <v/>
      </c>
      <c r="G310" s="19"/>
      <c r="H310" s="20"/>
      <c r="I310" s="14" t="str">
        <f aca="false">IF($B310="","",IFERROR(INDEX('Mẫu task'!$H$5:$H$64,MATCH($B310,'Mẫu task'!$A$5:$A$64,0)),""))</f>
        <v/>
      </c>
      <c r="J310" s="24" t="str">
        <f aca="false">IF(OR($H310="",$I310=""),"",$H310+$I310)</f>
        <v/>
      </c>
      <c r="K310" s="22"/>
      <c r="L310" s="20"/>
      <c r="M310" s="14" t="str">
        <f aca="true">IF($B310="","",IF($K310="Hoàn thành","Xong",IF($K310="Không áp dụng","—",IF($K310="Bị chặn","Bị chặn",IF($O310=1,"TRỄ "&amp;(TODAY()-$J310)&amp;" ngày",IF(AND($K310="Đang làm",$P310&gt;0),"Bước trước chưa xong",IF(AND($J310&lt;&gt;"",N($J310)-TODAY()&lt;=3),"Sắp đến hạn",IF($K310="Đang làm","Đang làm","Chưa bắt đầu"))))))))</f>
        <v/>
      </c>
      <c r="N310" s="25"/>
      <c r="O310" s="26" t="n">
        <f aca="true">IF(AND($B310&lt;&gt;"",$K310&lt;&gt;"Hoàn thành",$K310&lt;&gt;"Không áp dụng",$J310&lt;&gt;""),IF($J310&lt;TODAY(),1,0),0)</f>
        <v>0</v>
      </c>
      <c r="P310" s="26" t="n">
        <f aca="false">IF(AND($B310&lt;&gt;"",$C310&lt;&gt;"",N($C310)&gt;1),COUNTIFS(Task!$A$5:$A$404,$A310,Task!$C$5:$C$404,N($C310)-1,Task!$K$5:$K$404,"&lt;&gt;Hoàn thành",Task!$K$5:$K$404,"&lt;&gt;Không áp dụng"),0)</f>
        <v>0</v>
      </c>
    </row>
    <row r="311" customFormat="false" ht="15" hidden="false" customHeight="false" outlineLevel="0" collapsed="false">
      <c r="A311" s="19"/>
      <c r="B311" s="22"/>
      <c r="C311" s="14" t="str">
        <f aca="false">IF($B311="","",IFERROR(INDEX('Mẫu task'!$B$5:$B$64,MATCH($B311,'Mẫu task'!$A$5:$A$64,0)),""))</f>
        <v/>
      </c>
      <c r="D311" s="15" t="str">
        <f aca="false">IF($C311="","",IFERROR(INDEX('Quy trình'!$B$5:$B$12,MATCH($C311,'Quy trình'!$A$5:$A$12,0)),""))</f>
        <v/>
      </c>
      <c r="E311" s="23" t="str">
        <f aca="false">IF($B311="","",IFERROR(INDEX('Mẫu task'!$D$5:$D$64,MATCH($B311,'Mẫu task'!$A$5:$A$64,0)),""))</f>
        <v/>
      </c>
      <c r="F311" s="23" t="str">
        <f aca="false">IF($B311="","",IFERROR(INDEX('Mẫu task'!$E$5:$E$64,MATCH($B311,'Mẫu task'!$A$5:$A$64,0)),""))</f>
        <v/>
      </c>
      <c r="G311" s="19"/>
      <c r="H311" s="20"/>
      <c r="I311" s="14" t="str">
        <f aca="false">IF($B311="","",IFERROR(INDEX('Mẫu task'!$H$5:$H$64,MATCH($B311,'Mẫu task'!$A$5:$A$64,0)),""))</f>
        <v/>
      </c>
      <c r="J311" s="24" t="str">
        <f aca="false">IF(OR($H311="",$I311=""),"",$H311+$I311)</f>
        <v/>
      </c>
      <c r="K311" s="22"/>
      <c r="L311" s="20"/>
      <c r="M311" s="14" t="str">
        <f aca="true">IF($B311="","",IF($K311="Hoàn thành","Xong",IF($K311="Không áp dụng","—",IF($K311="Bị chặn","Bị chặn",IF($O311=1,"TRỄ "&amp;(TODAY()-$J311)&amp;" ngày",IF(AND($K311="Đang làm",$P311&gt;0),"Bước trước chưa xong",IF(AND($J311&lt;&gt;"",N($J311)-TODAY()&lt;=3),"Sắp đến hạn",IF($K311="Đang làm","Đang làm","Chưa bắt đầu"))))))))</f>
        <v/>
      </c>
      <c r="N311" s="25"/>
      <c r="O311" s="26" t="n">
        <f aca="true">IF(AND($B311&lt;&gt;"",$K311&lt;&gt;"Hoàn thành",$K311&lt;&gt;"Không áp dụng",$J311&lt;&gt;""),IF($J311&lt;TODAY(),1,0),0)</f>
        <v>0</v>
      </c>
      <c r="P311" s="26" t="n">
        <f aca="false">IF(AND($B311&lt;&gt;"",$C311&lt;&gt;"",N($C311)&gt;1),COUNTIFS(Task!$A$5:$A$404,$A311,Task!$C$5:$C$404,N($C311)-1,Task!$K$5:$K$404,"&lt;&gt;Hoàn thành",Task!$K$5:$K$404,"&lt;&gt;Không áp dụng"),0)</f>
        <v>0</v>
      </c>
    </row>
    <row r="312" customFormat="false" ht="15" hidden="false" customHeight="false" outlineLevel="0" collapsed="false">
      <c r="A312" s="19"/>
      <c r="B312" s="22"/>
      <c r="C312" s="14" t="str">
        <f aca="false">IF($B312="","",IFERROR(INDEX('Mẫu task'!$B$5:$B$64,MATCH($B312,'Mẫu task'!$A$5:$A$64,0)),""))</f>
        <v/>
      </c>
      <c r="D312" s="15" t="str">
        <f aca="false">IF($C312="","",IFERROR(INDEX('Quy trình'!$B$5:$B$12,MATCH($C312,'Quy trình'!$A$5:$A$12,0)),""))</f>
        <v/>
      </c>
      <c r="E312" s="23" t="str">
        <f aca="false">IF($B312="","",IFERROR(INDEX('Mẫu task'!$D$5:$D$64,MATCH($B312,'Mẫu task'!$A$5:$A$64,0)),""))</f>
        <v/>
      </c>
      <c r="F312" s="23" t="str">
        <f aca="false">IF($B312="","",IFERROR(INDEX('Mẫu task'!$E$5:$E$64,MATCH($B312,'Mẫu task'!$A$5:$A$64,0)),""))</f>
        <v/>
      </c>
      <c r="G312" s="19"/>
      <c r="H312" s="20"/>
      <c r="I312" s="14" t="str">
        <f aca="false">IF($B312="","",IFERROR(INDEX('Mẫu task'!$H$5:$H$64,MATCH($B312,'Mẫu task'!$A$5:$A$64,0)),""))</f>
        <v/>
      </c>
      <c r="J312" s="24" t="str">
        <f aca="false">IF(OR($H312="",$I312=""),"",$H312+$I312)</f>
        <v/>
      </c>
      <c r="K312" s="22"/>
      <c r="L312" s="20"/>
      <c r="M312" s="14" t="str">
        <f aca="true">IF($B312="","",IF($K312="Hoàn thành","Xong",IF($K312="Không áp dụng","—",IF($K312="Bị chặn","Bị chặn",IF($O312=1,"TRỄ "&amp;(TODAY()-$J312)&amp;" ngày",IF(AND($K312="Đang làm",$P312&gt;0),"Bước trước chưa xong",IF(AND($J312&lt;&gt;"",N($J312)-TODAY()&lt;=3),"Sắp đến hạn",IF($K312="Đang làm","Đang làm","Chưa bắt đầu"))))))))</f>
        <v/>
      </c>
      <c r="N312" s="25"/>
      <c r="O312" s="26" t="n">
        <f aca="true">IF(AND($B312&lt;&gt;"",$K312&lt;&gt;"Hoàn thành",$K312&lt;&gt;"Không áp dụng",$J312&lt;&gt;""),IF($J312&lt;TODAY(),1,0),0)</f>
        <v>0</v>
      </c>
      <c r="P312" s="26" t="n">
        <f aca="false">IF(AND($B312&lt;&gt;"",$C312&lt;&gt;"",N($C312)&gt;1),COUNTIFS(Task!$A$5:$A$404,$A312,Task!$C$5:$C$404,N($C312)-1,Task!$K$5:$K$404,"&lt;&gt;Hoàn thành",Task!$K$5:$K$404,"&lt;&gt;Không áp dụng"),0)</f>
        <v>0</v>
      </c>
    </row>
    <row r="313" customFormat="false" ht="15" hidden="false" customHeight="false" outlineLevel="0" collapsed="false">
      <c r="A313" s="19"/>
      <c r="B313" s="22"/>
      <c r="C313" s="14" t="str">
        <f aca="false">IF($B313="","",IFERROR(INDEX('Mẫu task'!$B$5:$B$64,MATCH($B313,'Mẫu task'!$A$5:$A$64,0)),""))</f>
        <v/>
      </c>
      <c r="D313" s="15" t="str">
        <f aca="false">IF($C313="","",IFERROR(INDEX('Quy trình'!$B$5:$B$12,MATCH($C313,'Quy trình'!$A$5:$A$12,0)),""))</f>
        <v/>
      </c>
      <c r="E313" s="23" t="str">
        <f aca="false">IF($B313="","",IFERROR(INDEX('Mẫu task'!$D$5:$D$64,MATCH($B313,'Mẫu task'!$A$5:$A$64,0)),""))</f>
        <v/>
      </c>
      <c r="F313" s="23" t="str">
        <f aca="false">IF($B313="","",IFERROR(INDEX('Mẫu task'!$E$5:$E$64,MATCH($B313,'Mẫu task'!$A$5:$A$64,0)),""))</f>
        <v/>
      </c>
      <c r="G313" s="19"/>
      <c r="H313" s="20"/>
      <c r="I313" s="14" t="str">
        <f aca="false">IF($B313="","",IFERROR(INDEX('Mẫu task'!$H$5:$H$64,MATCH($B313,'Mẫu task'!$A$5:$A$64,0)),""))</f>
        <v/>
      </c>
      <c r="J313" s="24" t="str">
        <f aca="false">IF(OR($H313="",$I313=""),"",$H313+$I313)</f>
        <v/>
      </c>
      <c r="K313" s="22"/>
      <c r="L313" s="20"/>
      <c r="M313" s="14" t="str">
        <f aca="true">IF($B313="","",IF($K313="Hoàn thành","Xong",IF($K313="Không áp dụng","—",IF($K313="Bị chặn","Bị chặn",IF($O313=1,"TRỄ "&amp;(TODAY()-$J313)&amp;" ngày",IF(AND($K313="Đang làm",$P313&gt;0),"Bước trước chưa xong",IF(AND($J313&lt;&gt;"",N($J313)-TODAY()&lt;=3),"Sắp đến hạn",IF($K313="Đang làm","Đang làm","Chưa bắt đầu"))))))))</f>
        <v/>
      </c>
      <c r="N313" s="25"/>
      <c r="O313" s="26" t="n">
        <f aca="true">IF(AND($B313&lt;&gt;"",$K313&lt;&gt;"Hoàn thành",$K313&lt;&gt;"Không áp dụng",$J313&lt;&gt;""),IF($J313&lt;TODAY(),1,0),0)</f>
        <v>0</v>
      </c>
      <c r="P313" s="26" t="n">
        <f aca="false">IF(AND($B313&lt;&gt;"",$C313&lt;&gt;"",N($C313)&gt;1),COUNTIFS(Task!$A$5:$A$404,$A313,Task!$C$5:$C$404,N($C313)-1,Task!$K$5:$K$404,"&lt;&gt;Hoàn thành",Task!$K$5:$K$404,"&lt;&gt;Không áp dụng"),0)</f>
        <v>0</v>
      </c>
    </row>
    <row r="314" customFormat="false" ht="15" hidden="false" customHeight="false" outlineLevel="0" collapsed="false">
      <c r="A314" s="19"/>
      <c r="B314" s="22"/>
      <c r="C314" s="14" t="str">
        <f aca="false">IF($B314="","",IFERROR(INDEX('Mẫu task'!$B$5:$B$64,MATCH($B314,'Mẫu task'!$A$5:$A$64,0)),""))</f>
        <v/>
      </c>
      <c r="D314" s="15" t="str">
        <f aca="false">IF($C314="","",IFERROR(INDEX('Quy trình'!$B$5:$B$12,MATCH($C314,'Quy trình'!$A$5:$A$12,0)),""))</f>
        <v/>
      </c>
      <c r="E314" s="23" t="str">
        <f aca="false">IF($B314="","",IFERROR(INDEX('Mẫu task'!$D$5:$D$64,MATCH($B314,'Mẫu task'!$A$5:$A$64,0)),""))</f>
        <v/>
      </c>
      <c r="F314" s="23" t="str">
        <f aca="false">IF($B314="","",IFERROR(INDEX('Mẫu task'!$E$5:$E$64,MATCH($B314,'Mẫu task'!$A$5:$A$64,0)),""))</f>
        <v/>
      </c>
      <c r="G314" s="19"/>
      <c r="H314" s="20"/>
      <c r="I314" s="14" t="str">
        <f aca="false">IF($B314="","",IFERROR(INDEX('Mẫu task'!$H$5:$H$64,MATCH($B314,'Mẫu task'!$A$5:$A$64,0)),""))</f>
        <v/>
      </c>
      <c r="J314" s="24" t="str">
        <f aca="false">IF(OR($H314="",$I314=""),"",$H314+$I314)</f>
        <v/>
      </c>
      <c r="K314" s="22"/>
      <c r="L314" s="20"/>
      <c r="M314" s="14" t="str">
        <f aca="true">IF($B314="","",IF($K314="Hoàn thành","Xong",IF($K314="Không áp dụng","—",IF($K314="Bị chặn","Bị chặn",IF($O314=1,"TRỄ "&amp;(TODAY()-$J314)&amp;" ngày",IF(AND($K314="Đang làm",$P314&gt;0),"Bước trước chưa xong",IF(AND($J314&lt;&gt;"",N($J314)-TODAY()&lt;=3),"Sắp đến hạn",IF($K314="Đang làm","Đang làm","Chưa bắt đầu"))))))))</f>
        <v/>
      </c>
      <c r="N314" s="25"/>
      <c r="O314" s="26" t="n">
        <f aca="true">IF(AND($B314&lt;&gt;"",$K314&lt;&gt;"Hoàn thành",$K314&lt;&gt;"Không áp dụng",$J314&lt;&gt;""),IF($J314&lt;TODAY(),1,0),0)</f>
        <v>0</v>
      </c>
      <c r="P314" s="26" t="n">
        <f aca="false">IF(AND($B314&lt;&gt;"",$C314&lt;&gt;"",N($C314)&gt;1),COUNTIFS(Task!$A$5:$A$404,$A314,Task!$C$5:$C$404,N($C314)-1,Task!$K$5:$K$404,"&lt;&gt;Hoàn thành",Task!$K$5:$K$404,"&lt;&gt;Không áp dụng"),0)</f>
        <v>0</v>
      </c>
    </row>
    <row r="315" customFormat="false" ht="15" hidden="false" customHeight="false" outlineLevel="0" collapsed="false">
      <c r="A315" s="19"/>
      <c r="B315" s="22"/>
      <c r="C315" s="14" t="str">
        <f aca="false">IF($B315="","",IFERROR(INDEX('Mẫu task'!$B$5:$B$64,MATCH($B315,'Mẫu task'!$A$5:$A$64,0)),""))</f>
        <v/>
      </c>
      <c r="D315" s="15" t="str">
        <f aca="false">IF($C315="","",IFERROR(INDEX('Quy trình'!$B$5:$B$12,MATCH($C315,'Quy trình'!$A$5:$A$12,0)),""))</f>
        <v/>
      </c>
      <c r="E315" s="23" t="str">
        <f aca="false">IF($B315="","",IFERROR(INDEX('Mẫu task'!$D$5:$D$64,MATCH($B315,'Mẫu task'!$A$5:$A$64,0)),""))</f>
        <v/>
      </c>
      <c r="F315" s="23" t="str">
        <f aca="false">IF($B315="","",IFERROR(INDEX('Mẫu task'!$E$5:$E$64,MATCH($B315,'Mẫu task'!$A$5:$A$64,0)),""))</f>
        <v/>
      </c>
      <c r="G315" s="19"/>
      <c r="H315" s="20"/>
      <c r="I315" s="14" t="str">
        <f aca="false">IF($B315="","",IFERROR(INDEX('Mẫu task'!$H$5:$H$64,MATCH($B315,'Mẫu task'!$A$5:$A$64,0)),""))</f>
        <v/>
      </c>
      <c r="J315" s="24" t="str">
        <f aca="false">IF(OR($H315="",$I315=""),"",$H315+$I315)</f>
        <v/>
      </c>
      <c r="K315" s="22"/>
      <c r="L315" s="20"/>
      <c r="M315" s="14" t="str">
        <f aca="true">IF($B315="","",IF($K315="Hoàn thành","Xong",IF($K315="Không áp dụng","—",IF($K315="Bị chặn","Bị chặn",IF($O315=1,"TRỄ "&amp;(TODAY()-$J315)&amp;" ngày",IF(AND($K315="Đang làm",$P315&gt;0),"Bước trước chưa xong",IF(AND($J315&lt;&gt;"",N($J315)-TODAY()&lt;=3),"Sắp đến hạn",IF($K315="Đang làm","Đang làm","Chưa bắt đầu"))))))))</f>
        <v/>
      </c>
      <c r="N315" s="25"/>
      <c r="O315" s="26" t="n">
        <f aca="true">IF(AND($B315&lt;&gt;"",$K315&lt;&gt;"Hoàn thành",$K315&lt;&gt;"Không áp dụng",$J315&lt;&gt;""),IF($J315&lt;TODAY(),1,0),0)</f>
        <v>0</v>
      </c>
      <c r="P315" s="26" t="n">
        <f aca="false">IF(AND($B315&lt;&gt;"",$C315&lt;&gt;"",N($C315)&gt;1),COUNTIFS(Task!$A$5:$A$404,$A315,Task!$C$5:$C$404,N($C315)-1,Task!$K$5:$K$404,"&lt;&gt;Hoàn thành",Task!$K$5:$K$404,"&lt;&gt;Không áp dụng"),0)</f>
        <v>0</v>
      </c>
    </row>
    <row r="316" customFormat="false" ht="15" hidden="false" customHeight="false" outlineLevel="0" collapsed="false">
      <c r="A316" s="19"/>
      <c r="B316" s="22"/>
      <c r="C316" s="14" t="str">
        <f aca="false">IF($B316="","",IFERROR(INDEX('Mẫu task'!$B$5:$B$64,MATCH($B316,'Mẫu task'!$A$5:$A$64,0)),""))</f>
        <v/>
      </c>
      <c r="D316" s="15" t="str">
        <f aca="false">IF($C316="","",IFERROR(INDEX('Quy trình'!$B$5:$B$12,MATCH($C316,'Quy trình'!$A$5:$A$12,0)),""))</f>
        <v/>
      </c>
      <c r="E316" s="23" t="str">
        <f aca="false">IF($B316="","",IFERROR(INDEX('Mẫu task'!$D$5:$D$64,MATCH($B316,'Mẫu task'!$A$5:$A$64,0)),""))</f>
        <v/>
      </c>
      <c r="F316" s="23" t="str">
        <f aca="false">IF($B316="","",IFERROR(INDEX('Mẫu task'!$E$5:$E$64,MATCH($B316,'Mẫu task'!$A$5:$A$64,0)),""))</f>
        <v/>
      </c>
      <c r="G316" s="19"/>
      <c r="H316" s="20"/>
      <c r="I316" s="14" t="str">
        <f aca="false">IF($B316="","",IFERROR(INDEX('Mẫu task'!$H$5:$H$64,MATCH($B316,'Mẫu task'!$A$5:$A$64,0)),""))</f>
        <v/>
      </c>
      <c r="J316" s="24" t="str">
        <f aca="false">IF(OR($H316="",$I316=""),"",$H316+$I316)</f>
        <v/>
      </c>
      <c r="K316" s="22"/>
      <c r="L316" s="20"/>
      <c r="M316" s="14" t="str">
        <f aca="true">IF($B316="","",IF($K316="Hoàn thành","Xong",IF($K316="Không áp dụng","—",IF($K316="Bị chặn","Bị chặn",IF($O316=1,"TRỄ "&amp;(TODAY()-$J316)&amp;" ngày",IF(AND($K316="Đang làm",$P316&gt;0),"Bước trước chưa xong",IF(AND($J316&lt;&gt;"",N($J316)-TODAY()&lt;=3),"Sắp đến hạn",IF($K316="Đang làm","Đang làm","Chưa bắt đầu"))))))))</f>
        <v/>
      </c>
      <c r="N316" s="25"/>
      <c r="O316" s="26" t="n">
        <f aca="true">IF(AND($B316&lt;&gt;"",$K316&lt;&gt;"Hoàn thành",$K316&lt;&gt;"Không áp dụng",$J316&lt;&gt;""),IF($J316&lt;TODAY(),1,0),0)</f>
        <v>0</v>
      </c>
      <c r="P316" s="26" t="n">
        <f aca="false">IF(AND($B316&lt;&gt;"",$C316&lt;&gt;"",N($C316)&gt;1),COUNTIFS(Task!$A$5:$A$404,$A316,Task!$C$5:$C$404,N($C316)-1,Task!$K$5:$K$404,"&lt;&gt;Hoàn thành",Task!$K$5:$K$404,"&lt;&gt;Không áp dụng"),0)</f>
        <v>0</v>
      </c>
    </row>
    <row r="317" customFormat="false" ht="15" hidden="false" customHeight="false" outlineLevel="0" collapsed="false">
      <c r="A317" s="19"/>
      <c r="B317" s="22"/>
      <c r="C317" s="14" t="str">
        <f aca="false">IF($B317="","",IFERROR(INDEX('Mẫu task'!$B$5:$B$64,MATCH($B317,'Mẫu task'!$A$5:$A$64,0)),""))</f>
        <v/>
      </c>
      <c r="D317" s="15" t="str">
        <f aca="false">IF($C317="","",IFERROR(INDEX('Quy trình'!$B$5:$B$12,MATCH($C317,'Quy trình'!$A$5:$A$12,0)),""))</f>
        <v/>
      </c>
      <c r="E317" s="23" t="str">
        <f aca="false">IF($B317="","",IFERROR(INDEX('Mẫu task'!$D$5:$D$64,MATCH($B317,'Mẫu task'!$A$5:$A$64,0)),""))</f>
        <v/>
      </c>
      <c r="F317" s="23" t="str">
        <f aca="false">IF($B317="","",IFERROR(INDEX('Mẫu task'!$E$5:$E$64,MATCH($B317,'Mẫu task'!$A$5:$A$64,0)),""))</f>
        <v/>
      </c>
      <c r="G317" s="19"/>
      <c r="H317" s="20"/>
      <c r="I317" s="14" t="str">
        <f aca="false">IF($B317="","",IFERROR(INDEX('Mẫu task'!$H$5:$H$64,MATCH($B317,'Mẫu task'!$A$5:$A$64,0)),""))</f>
        <v/>
      </c>
      <c r="J317" s="24" t="str">
        <f aca="false">IF(OR($H317="",$I317=""),"",$H317+$I317)</f>
        <v/>
      </c>
      <c r="K317" s="22"/>
      <c r="L317" s="20"/>
      <c r="M317" s="14" t="str">
        <f aca="true">IF($B317="","",IF($K317="Hoàn thành","Xong",IF($K317="Không áp dụng","—",IF($K317="Bị chặn","Bị chặn",IF($O317=1,"TRỄ "&amp;(TODAY()-$J317)&amp;" ngày",IF(AND($K317="Đang làm",$P317&gt;0),"Bước trước chưa xong",IF(AND($J317&lt;&gt;"",N($J317)-TODAY()&lt;=3),"Sắp đến hạn",IF($K317="Đang làm","Đang làm","Chưa bắt đầu"))))))))</f>
        <v/>
      </c>
      <c r="N317" s="25"/>
      <c r="O317" s="26" t="n">
        <f aca="true">IF(AND($B317&lt;&gt;"",$K317&lt;&gt;"Hoàn thành",$K317&lt;&gt;"Không áp dụng",$J317&lt;&gt;""),IF($J317&lt;TODAY(),1,0),0)</f>
        <v>0</v>
      </c>
      <c r="P317" s="26" t="n">
        <f aca="false">IF(AND($B317&lt;&gt;"",$C317&lt;&gt;"",N($C317)&gt;1),COUNTIFS(Task!$A$5:$A$404,$A317,Task!$C$5:$C$404,N($C317)-1,Task!$K$5:$K$404,"&lt;&gt;Hoàn thành",Task!$K$5:$K$404,"&lt;&gt;Không áp dụng"),0)</f>
        <v>0</v>
      </c>
    </row>
    <row r="318" customFormat="false" ht="15" hidden="false" customHeight="false" outlineLevel="0" collapsed="false">
      <c r="A318" s="19"/>
      <c r="B318" s="22"/>
      <c r="C318" s="14" t="str">
        <f aca="false">IF($B318="","",IFERROR(INDEX('Mẫu task'!$B$5:$B$64,MATCH($B318,'Mẫu task'!$A$5:$A$64,0)),""))</f>
        <v/>
      </c>
      <c r="D318" s="15" t="str">
        <f aca="false">IF($C318="","",IFERROR(INDEX('Quy trình'!$B$5:$B$12,MATCH($C318,'Quy trình'!$A$5:$A$12,0)),""))</f>
        <v/>
      </c>
      <c r="E318" s="23" t="str">
        <f aca="false">IF($B318="","",IFERROR(INDEX('Mẫu task'!$D$5:$D$64,MATCH($B318,'Mẫu task'!$A$5:$A$64,0)),""))</f>
        <v/>
      </c>
      <c r="F318" s="23" t="str">
        <f aca="false">IF($B318="","",IFERROR(INDEX('Mẫu task'!$E$5:$E$64,MATCH($B318,'Mẫu task'!$A$5:$A$64,0)),""))</f>
        <v/>
      </c>
      <c r="G318" s="19"/>
      <c r="H318" s="20"/>
      <c r="I318" s="14" t="str">
        <f aca="false">IF($B318="","",IFERROR(INDEX('Mẫu task'!$H$5:$H$64,MATCH($B318,'Mẫu task'!$A$5:$A$64,0)),""))</f>
        <v/>
      </c>
      <c r="J318" s="24" t="str">
        <f aca="false">IF(OR($H318="",$I318=""),"",$H318+$I318)</f>
        <v/>
      </c>
      <c r="K318" s="22"/>
      <c r="L318" s="20"/>
      <c r="M318" s="14" t="str">
        <f aca="true">IF($B318="","",IF($K318="Hoàn thành","Xong",IF($K318="Không áp dụng","—",IF($K318="Bị chặn","Bị chặn",IF($O318=1,"TRỄ "&amp;(TODAY()-$J318)&amp;" ngày",IF(AND($K318="Đang làm",$P318&gt;0),"Bước trước chưa xong",IF(AND($J318&lt;&gt;"",N($J318)-TODAY()&lt;=3),"Sắp đến hạn",IF($K318="Đang làm","Đang làm","Chưa bắt đầu"))))))))</f>
        <v/>
      </c>
      <c r="N318" s="25"/>
      <c r="O318" s="26" t="n">
        <f aca="true">IF(AND($B318&lt;&gt;"",$K318&lt;&gt;"Hoàn thành",$K318&lt;&gt;"Không áp dụng",$J318&lt;&gt;""),IF($J318&lt;TODAY(),1,0),0)</f>
        <v>0</v>
      </c>
      <c r="P318" s="26" t="n">
        <f aca="false">IF(AND($B318&lt;&gt;"",$C318&lt;&gt;"",N($C318)&gt;1),COUNTIFS(Task!$A$5:$A$404,$A318,Task!$C$5:$C$404,N($C318)-1,Task!$K$5:$K$404,"&lt;&gt;Hoàn thành",Task!$K$5:$K$404,"&lt;&gt;Không áp dụng"),0)</f>
        <v>0</v>
      </c>
    </row>
    <row r="319" customFormat="false" ht="15" hidden="false" customHeight="false" outlineLevel="0" collapsed="false">
      <c r="A319" s="19"/>
      <c r="B319" s="22"/>
      <c r="C319" s="14" t="str">
        <f aca="false">IF($B319="","",IFERROR(INDEX('Mẫu task'!$B$5:$B$64,MATCH($B319,'Mẫu task'!$A$5:$A$64,0)),""))</f>
        <v/>
      </c>
      <c r="D319" s="15" t="str">
        <f aca="false">IF($C319="","",IFERROR(INDEX('Quy trình'!$B$5:$B$12,MATCH($C319,'Quy trình'!$A$5:$A$12,0)),""))</f>
        <v/>
      </c>
      <c r="E319" s="23" t="str">
        <f aca="false">IF($B319="","",IFERROR(INDEX('Mẫu task'!$D$5:$D$64,MATCH($B319,'Mẫu task'!$A$5:$A$64,0)),""))</f>
        <v/>
      </c>
      <c r="F319" s="23" t="str">
        <f aca="false">IF($B319="","",IFERROR(INDEX('Mẫu task'!$E$5:$E$64,MATCH($B319,'Mẫu task'!$A$5:$A$64,0)),""))</f>
        <v/>
      </c>
      <c r="G319" s="19"/>
      <c r="H319" s="20"/>
      <c r="I319" s="14" t="str">
        <f aca="false">IF($B319="","",IFERROR(INDEX('Mẫu task'!$H$5:$H$64,MATCH($B319,'Mẫu task'!$A$5:$A$64,0)),""))</f>
        <v/>
      </c>
      <c r="J319" s="24" t="str">
        <f aca="false">IF(OR($H319="",$I319=""),"",$H319+$I319)</f>
        <v/>
      </c>
      <c r="K319" s="22"/>
      <c r="L319" s="20"/>
      <c r="M319" s="14" t="str">
        <f aca="true">IF($B319="","",IF($K319="Hoàn thành","Xong",IF($K319="Không áp dụng","—",IF($K319="Bị chặn","Bị chặn",IF($O319=1,"TRỄ "&amp;(TODAY()-$J319)&amp;" ngày",IF(AND($K319="Đang làm",$P319&gt;0),"Bước trước chưa xong",IF(AND($J319&lt;&gt;"",N($J319)-TODAY()&lt;=3),"Sắp đến hạn",IF($K319="Đang làm","Đang làm","Chưa bắt đầu"))))))))</f>
        <v/>
      </c>
      <c r="N319" s="25"/>
      <c r="O319" s="26" t="n">
        <f aca="true">IF(AND($B319&lt;&gt;"",$K319&lt;&gt;"Hoàn thành",$K319&lt;&gt;"Không áp dụng",$J319&lt;&gt;""),IF($J319&lt;TODAY(),1,0),0)</f>
        <v>0</v>
      </c>
      <c r="P319" s="26" t="n">
        <f aca="false">IF(AND($B319&lt;&gt;"",$C319&lt;&gt;"",N($C319)&gt;1),COUNTIFS(Task!$A$5:$A$404,$A319,Task!$C$5:$C$404,N($C319)-1,Task!$K$5:$K$404,"&lt;&gt;Hoàn thành",Task!$K$5:$K$404,"&lt;&gt;Không áp dụng"),0)</f>
        <v>0</v>
      </c>
    </row>
    <row r="320" customFormat="false" ht="15" hidden="false" customHeight="false" outlineLevel="0" collapsed="false">
      <c r="A320" s="19"/>
      <c r="B320" s="22"/>
      <c r="C320" s="14" t="str">
        <f aca="false">IF($B320="","",IFERROR(INDEX('Mẫu task'!$B$5:$B$64,MATCH($B320,'Mẫu task'!$A$5:$A$64,0)),""))</f>
        <v/>
      </c>
      <c r="D320" s="15" t="str">
        <f aca="false">IF($C320="","",IFERROR(INDEX('Quy trình'!$B$5:$B$12,MATCH($C320,'Quy trình'!$A$5:$A$12,0)),""))</f>
        <v/>
      </c>
      <c r="E320" s="23" t="str">
        <f aca="false">IF($B320="","",IFERROR(INDEX('Mẫu task'!$D$5:$D$64,MATCH($B320,'Mẫu task'!$A$5:$A$64,0)),""))</f>
        <v/>
      </c>
      <c r="F320" s="23" t="str">
        <f aca="false">IF($B320="","",IFERROR(INDEX('Mẫu task'!$E$5:$E$64,MATCH($B320,'Mẫu task'!$A$5:$A$64,0)),""))</f>
        <v/>
      </c>
      <c r="G320" s="19"/>
      <c r="H320" s="20"/>
      <c r="I320" s="14" t="str">
        <f aca="false">IF($B320="","",IFERROR(INDEX('Mẫu task'!$H$5:$H$64,MATCH($B320,'Mẫu task'!$A$5:$A$64,0)),""))</f>
        <v/>
      </c>
      <c r="J320" s="24" t="str">
        <f aca="false">IF(OR($H320="",$I320=""),"",$H320+$I320)</f>
        <v/>
      </c>
      <c r="K320" s="22"/>
      <c r="L320" s="20"/>
      <c r="M320" s="14" t="str">
        <f aca="true">IF($B320="","",IF($K320="Hoàn thành","Xong",IF($K320="Không áp dụng","—",IF($K320="Bị chặn","Bị chặn",IF($O320=1,"TRỄ "&amp;(TODAY()-$J320)&amp;" ngày",IF(AND($K320="Đang làm",$P320&gt;0),"Bước trước chưa xong",IF(AND($J320&lt;&gt;"",N($J320)-TODAY()&lt;=3),"Sắp đến hạn",IF($K320="Đang làm","Đang làm","Chưa bắt đầu"))))))))</f>
        <v/>
      </c>
      <c r="N320" s="25"/>
      <c r="O320" s="26" t="n">
        <f aca="true">IF(AND($B320&lt;&gt;"",$K320&lt;&gt;"Hoàn thành",$K320&lt;&gt;"Không áp dụng",$J320&lt;&gt;""),IF($J320&lt;TODAY(),1,0),0)</f>
        <v>0</v>
      </c>
      <c r="P320" s="26" t="n">
        <f aca="false">IF(AND($B320&lt;&gt;"",$C320&lt;&gt;"",N($C320)&gt;1),COUNTIFS(Task!$A$5:$A$404,$A320,Task!$C$5:$C$404,N($C320)-1,Task!$K$5:$K$404,"&lt;&gt;Hoàn thành",Task!$K$5:$K$404,"&lt;&gt;Không áp dụng"),0)</f>
        <v>0</v>
      </c>
    </row>
    <row r="321" customFormat="false" ht="15" hidden="false" customHeight="false" outlineLevel="0" collapsed="false">
      <c r="A321" s="19"/>
      <c r="B321" s="22"/>
      <c r="C321" s="14" t="str">
        <f aca="false">IF($B321="","",IFERROR(INDEX('Mẫu task'!$B$5:$B$64,MATCH($B321,'Mẫu task'!$A$5:$A$64,0)),""))</f>
        <v/>
      </c>
      <c r="D321" s="15" t="str">
        <f aca="false">IF($C321="","",IFERROR(INDEX('Quy trình'!$B$5:$B$12,MATCH($C321,'Quy trình'!$A$5:$A$12,0)),""))</f>
        <v/>
      </c>
      <c r="E321" s="23" t="str">
        <f aca="false">IF($B321="","",IFERROR(INDEX('Mẫu task'!$D$5:$D$64,MATCH($B321,'Mẫu task'!$A$5:$A$64,0)),""))</f>
        <v/>
      </c>
      <c r="F321" s="23" t="str">
        <f aca="false">IF($B321="","",IFERROR(INDEX('Mẫu task'!$E$5:$E$64,MATCH($B321,'Mẫu task'!$A$5:$A$64,0)),""))</f>
        <v/>
      </c>
      <c r="G321" s="19"/>
      <c r="H321" s="20"/>
      <c r="I321" s="14" t="str">
        <f aca="false">IF($B321="","",IFERROR(INDEX('Mẫu task'!$H$5:$H$64,MATCH($B321,'Mẫu task'!$A$5:$A$64,0)),""))</f>
        <v/>
      </c>
      <c r="J321" s="24" t="str">
        <f aca="false">IF(OR($H321="",$I321=""),"",$H321+$I321)</f>
        <v/>
      </c>
      <c r="K321" s="22"/>
      <c r="L321" s="20"/>
      <c r="M321" s="14" t="str">
        <f aca="true">IF($B321="","",IF($K321="Hoàn thành","Xong",IF($K321="Không áp dụng","—",IF($K321="Bị chặn","Bị chặn",IF($O321=1,"TRỄ "&amp;(TODAY()-$J321)&amp;" ngày",IF(AND($K321="Đang làm",$P321&gt;0),"Bước trước chưa xong",IF(AND($J321&lt;&gt;"",N($J321)-TODAY()&lt;=3),"Sắp đến hạn",IF($K321="Đang làm","Đang làm","Chưa bắt đầu"))))))))</f>
        <v/>
      </c>
      <c r="N321" s="25"/>
      <c r="O321" s="26" t="n">
        <f aca="true">IF(AND($B321&lt;&gt;"",$K321&lt;&gt;"Hoàn thành",$K321&lt;&gt;"Không áp dụng",$J321&lt;&gt;""),IF($J321&lt;TODAY(),1,0),0)</f>
        <v>0</v>
      </c>
      <c r="P321" s="26" t="n">
        <f aca="false">IF(AND($B321&lt;&gt;"",$C321&lt;&gt;"",N($C321)&gt;1),COUNTIFS(Task!$A$5:$A$404,$A321,Task!$C$5:$C$404,N($C321)-1,Task!$K$5:$K$404,"&lt;&gt;Hoàn thành",Task!$K$5:$K$404,"&lt;&gt;Không áp dụng"),0)</f>
        <v>0</v>
      </c>
    </row>
    <row r="322" customFormat="false" ht="15" hidden="false" customHeight="false" outlineLevel="0" collapsed="false">
      <c r="A322" s="19"/>
      <c r="B322" s="22"/>
      <c r="C322" s="14" t="str">
        <f aca="false">IF($B322="","",IFERROR(INDEX('Mẫu task'!$B$5:$B$64,MATCH($B322,'Mẫu task'!$A$5:$A$64,0)),""))</f>
        <v/>
      </c>
      <c r="D322" s="15" t="str">
        <f aca="false">IF($C322="","",IFERROR(INDEX('Quy trình'!$B$5:$B$12,MATCH($C322,'Quy trình'!$A$5:$A$12,0)),""))</f>
        <v/>
      </c>
      <c r="E322" s="23" t="str">
        <f aca="false">IF($B322="","",IFERROR(INDEX('Mẫu task'!$D$5:$D$64,MATCH($B322,'Mẫu task'!$A$5:$A$64,0)),""))</f>
        <v/>
      </c>
      <c r="F322" s="23" t="str">
        <f aca="false">IF($B322="","",IFERROR(INDEX('Mẫu task'!$E$5:$E$64,MATCH($B322,'Mẫu task'!$A$5:$A$64,0)),""))</f>
        <v/>
      </c>
      <c r="G322" s="19"/>
      <c r="H322" s="20"/>
      <c r="I322" s="14" t="str">
        <f aca="false">IF($B322="","",IFERROR(INDEX('Mẫu task'!$H$5:$H$64,MATCH($B322,'Mẫu task'!$A$5:$A$64,0)),""))</f>
        <v/>
      </c>
      <c r="J322" s="24" t="str">
        <f aca="false">IF(OR($H322="",$I322=""),"",$H322+$I322)</f>
        <v/>
      </c>
      <c r="K322" s="22"/>
      <c r="L322" s="20"/>
      <c r="M322" s="14" t="str">
        <f aca="true">IF($B322="","",IF($K322="Hoàn thành","Xong",IF($K322="Không áp dụng","—",IF($K322="Bị chặn","Bị chặn",IF($O322=1,"TRỄ "&amp;(TODAY()-$J322)&amp;" ngày",IF(AND($K322="Đang làm",$P322&gt;0),"Bước trước chưa xong",IF(AND($J322&lt;&gt;"",N($J322)-TODAY()&lt;=3),"Sắp đến hạn",IF($K322="Đang làm","Đang làm","Chưa bắt đầu"))))))))</f>
        <v/>
      </c>
      <c r="N322" s="25"/>
      <c r="O322" s="26" t="n">
        <f aca="true">IF(AND($B322&lt;&gt;"",$K322&lt;&gt;"Hoàn thành",$K322&lt;&gt;"Không áp dụng",$J322&lt;&gt;""),IF($J322&lt;TODAY(),1,0),0)</f>
        <v>0</v>
      </c>
      <c r="P322" s="26" t="n">
        <f aca="false">IF(AND($B322&lt;&gt;"",$C322&lt;&gt;"",N($C322)&gt;1),COUNTIFS(Task!$A$5:$A$404,$A322,Task!$C$5:$C$404,N($C322)-1,Task!$K$5:$K$404,"&lt;&gt;Hoàn thành",Task!$K$5:$K$404,"&lt;&gt;Không áp dụng"),0)</f>
        <v>0</v>
      </c>
    </row>
    <row r="323" customFormat="false" ht="15" hidden="false" customHeight="false" outlineLevel="0" collapsed="false">
      <c r="A323" s="19"/>
      <c r="B323" s="22"/>
      <c r="C323" s="14" t="str">
        <f aca="false">IF($B323="","",IFERROR(INDEX('Mẫu task'!$B$5:$B$64,MATCH($B323,'Mẫu task'!$A$5:$A$64,0)),""))</f>
        <v/>
      </c>
      <c r="D323" s="15" t="str">
        <f aca="false">IF($C323="","",IFERROR(INDEX('Quy trình'!$B$5:$B$12,MATCH($C323,'Quy trình'!$A$5:$A$12,0)),""))</f>
        <v/>
      </c>
      <c r="E323" s="23" t="str">
        <f aca="false">IF($B323="","",IFERROR(INDEX('Mẫu task'!$D$5:$D$64,MATCH($B323,'Mẫu task'!$A$5:$A$64,0)),""))</f>
        <v/>
      </c>
      <c r="F323" s="23" t="str">
        <f aca="false">IF($B323="","",IFERROR(INDEX('Mẫu task'!$E$5:$E$64,MATCH($B323,'Mẫu task'!$A$5:$A$64,0)),""))</f>
        <v/>
      </c>
      <c r="G323" s="19"/>
      <c r="H323" s="20"/>
      <c r="I323" s="14" t="str">
        <f aca="false">IF($B323="","",IFERROR(INDEX('Mẫu task'!$H$5:$H$64,MATCH($B323,'Mẫu task'!$A$5:$A$64,0)),""))</f>
        <v/>
      </c>
      <c r="J323" s="24" t="str">
        <f aca="false">IF(OR($H323="",$I323=""),"",$H323+$I323)</f>
        <v/>
      </c>
      <c r="K323" s="22"/>
      <c r="L323" s="20"/>
      <c r="M323" s="14" t="str">
        <f aca="true">IF($B323="","",IF($K323="Hoàn thành","Xong",IF($K323="Không áp dụng","—",IF($K323="Bị chặn","Bị chặn",IF($O323=1,"TRỄ "&amp;(TODAY()-$J323)&amp;" ngày",IF(AND($K323="Đang làm",$P323&gt;0),"Bước trước chưa xong",IF(AND($J323&lt;&gt;"",N($J323)-TODAY()&lt;=3),"Sắp đến hạn",IF($K323="Đang làm","Đang làm","Chưa bắt đầu"))))))))</f>
        <v/>
      </c>
      <c r="N323" s="25"/>
      <c r="O323" s="26" t="n">
        <f aca="true">IF(AND($B323&lt;&gt;"",$K323&lt;&gt;"Hoàn thành",$K323&lt;&gt;"Không áp dụng",$J323&lt;&gt;""),IF($J323&lt;TODAY(),1,0),0)</f>
        <v>0</v>
      </c>
      <c r="P323" s="26" t="n">
        <f aca="false">IF(AND($B323&lt;&gt;"",$C323&lt;&gt;"",N($C323)&gt;1),COUNTIFS(Task!$A$5:$A$404,$A323,Task!$C$5:$C$404,N($C323)-1,Task!$K$5:$K$404,"&lt;&gt;Hoàn thành",Task!$K$5:$K$404,"&lt;&gt;Không áp dụng"),0)</f>
        <v>0</v>
      </c>
    </row>
    <row r="324" customFormat="false" ht="15" hidden="false" customHeight="false" outlineLevel="0" collapsed="false">
      <c r="A324" s="19"/>
      <c r="B324" s="22"/>
      <c r="C324" s="14" t="str">
        <f aca="false">IF($B324="","",IFERROR(INDEX('Mẫu task'!$B$5:$B$64,MATCH($B324,'Mẫu task'!$A$5:$A$64,0)),""))</f>
        <v/>
      </c>
      <c r="D324" s="15" t="str">
        <f aca="false">IF($C324="","",IFERROR(INDEX('Quy trình'!$B$5:$B$12,MATCH($C324,'Quy trình'!$A$5:$A$12,0)),""))</f>
        <v/>
      </c>
      <c r="E324" s="23" t="str">
        <f aca="false">IF($B324="","",IFERROR(INDEX('Mẫu task'!$D$5:$D$64,MATCH($B324,'Mẫu task'!$A$5:$A$64,0)),""))</f>
        <v/>
      </c>
      <c r="F324" s="23" t="str">
        <f aca="false">IF($B324="","",IFERROR(INDEX('Mẫu task'!$E$5:$E$64,MATCH($B324,'Mẫu task'!$A$5:$A$64,0)),""))</f>
        <v/>
      </c>
      <c r="G324" s="19"/>
      <c r="H324" s="20"/>
      <c r="I324" s="14" t="str">
        <f aca="false">IF($B324="","",IFERROR(INDEX('Mẫu task'!$H$5:$H$64,MATCH($B324,'Mẫu task'!$A$5:$A$64,0)),""))</f>
        <v/>
      </c>
      <c r="J324" s="24" t="str">
        <f aca="false">IF(OR($H324="",$I324=""),"",$H324+$I324)</f>
        <v/>
      </c>
      <c r="K324" s="22"/>
      <c r="L324" s="20"/>
      <c r="M324" s="14" t="str">
        <f aca="true">IF($B324="","",IF($K324="Hoàn thành","Xong",IF($K324="Không áp dụng","—",IF($K324="Bị chặn","Bị chặn",IF($O324=1,"TRỄ "&amp;(TODAY()-$J324)&amp;" ngày",IF(AND($K324="Đang làm",$P324&gt;0),"Bước trước chưa xong",IF(AND($J324&lt;&gt;"",N($J324)-TODAY()&lt;=3),"Sắp đến hạn",IF($K324="Đang làm","Đang làm","Chưa bắt đầu"))))))))</f>
        <v/>
      </c>
      <c r="N324" s="25"/>
      <c r="O324" s="26" t="n">
        <f aca="true">IF(AND($B324&lt;&gt;"",$K324&lt;&gt;"Hoàn thành",$K324&lt;&gt;"Không áp dụng",$J324&lt;&gt;""),IF($J324&lt;TODAY(),1,0),0)</f>
        <v>0</v>
      </c>
      <c r="P324" s="26" t="n">
        <f aca="false">IF(AND($B324&lt;&gt;"",$C324&lt;&gt;"",N($C324)&gt;1),COUNTIFS(Task!$A$5:$A$404,$A324,Task!$C$5:$C$404,N($C324)-1,Task!$K$5:$K$404,"&lt;&gt;Hoàn thành",Task!$K$5:$K$404,"&lt;&gt;Không áp dụng"),0)</f>
        <v>0</v>
      </c>
    </row>
    <row r="325" customFormat="false" ht="15" hidden="false" customHeight="false" outlineLevel="0" collapsed="false">
      <c r="A325" s="19"/>
      <c r="B325" s="22"/>
      <c r="C325" s="14" t="str">
        <f aca="false">IF($B325="","",IFERROR(INDEX('Mẫu task'!$B$5:$B$64,MATCH($B325,'Mẫu task'!$A$5:$A$64,0)),""))</f>
        <v/>
      </c>
      <c r="D325" s="15" t="str">
        <f aca="false">IF($C325="","",IFERROR(INDEX('Quy trình'!$B$5:$B$12,MATCH($C325,'Quy trình'!$A$5:$A$12,0)),""))</f>
        <v/>
      </c>
      <c r="E325" s="23" t="str">
        <f aca="false">IF($B325="","",IFERROR(INDEX('Mẫu task'!$D$5:$D$64,MATCH($B325,'Mẫu task'!$A$5:$A$64,0)),""))</f>
        <v/>
      </c>
      <c r="F325" s="23" t="str">
        <f aca="false">IF($B325="","",IFERROR(INDEX('Mẫu task'!$E$5:$E$64,MATCH($B325,'Mẫu task'!$A$5:$A$64,0)),""))</f>
        <v/>
      </c>
      <c r="G325" s="19"/>
      <c r="H325" s="20"/>
      <c r="I325" s="14" t="str">
        <f aca="false">IF($B325="","",IFERROR(INDEX('Mẫu task'!$H$5:$H$64,MATCH($B325,'Mẫu task'!$A$5:$A$64,0)),""))</f>
        <v/>
      </c>
      <c r="J325" s="24" t="str">
        <f aca="false">IF(OR($H325="",$I325=""),"",$H325+$I325)</f>
        <v/>
      </c>
      <c r="K325" s="22"/>
      <c r="L325" s="20"/>
      <c r="M325" s="14" t="str">
        <f aca="true">IF($B325="","",IF($K325="Hoàn thành","Xong",IF($K325="Không áp dụng","—",IF($K325="Bị chặn","Bị chặn",IF($O325=1,"TRỄ "&amp;(TODAY()-$J325)&amp;" ngày",IF(AND($K325="Đang làm",$P325&gt;0),"Bước trước chưa xong",IF(AND($J325&lt;&gt;"",N($J325)-TODAY()&lt;=3),"Sắp đến hạn",IF($K325="Đang làm","Đang làm","Chưa bắt đầu"))))))))</f>
        <v/>
      </c>
      <c r="N325" s="25"/>
      <c r="O325" s="26" t="n">
        <f aca="true">IF(AND($B325&lt;&gt;"",$K325&lt;&gt;"Hoàn thành",$K325&lt;&gt;"Không áp dụng",$J325&lt;&gt;""),IF($J325&lt;TODAY(),1,0),0)</f>
        <v>0</v>
      </c>
      <c r="P325" s="26" t="n">
        <f aca="false">IF(AND($B325&lt;&gt;"",$C325&lt;&gt;"",N($C325)&gt;1),COUNTIFS(Task!$A$5:$A$404,$A325,Task!$C$5:$C$404,N($C325)-1,Task!$K$5:$K$404,"&lt;&gt;Hoàn thành",Task!$K$5:$K$404,"&lt;&gt;Không áp dụng"),0)</f>
        <v>0</v>
      </c>
    </row>
    <row r="326" customFormat="false" ht="15" hidden="false" customHeight="false" outlineLevel="0" collapsed="false">
      <c r="A326" s="19"/>
      <c r="B326" s="22"/>
      <c r="C326" s="14" t="str">
        <f aca="false">IF($B326="","",IFERROR(INDEX('Mẫu task'!$B$5:$B$64,MATCH($B326,'Mẫu task'!$A$5:$A$64,0)),""))</f>
        <v/>
      </c>
      <c r="D326" s="15" t="str">
        <f aca="false">IF($C326="","",IFERROR(INDEX('Quy trình'!$B$5:$B$12,MATCH($C326,'Quy trình'!$A$5:$A$12,0)),""))</f>
        <v/>
      </c>
      <c r="E326" s="23" t="str">
        <f aca="false">IF($B326="","",IFERROR(INDEX('Mẫu task'!$D$5:$D$64,MATCH($B326,'Mẫu task'!$A$5:$A$64,0)),""))</f>
        <v/>
      </c>
      <c r="F326" s="23" t="str">
        <f aca="false">IF($B326="","",IFERROR(INDEX('Mẫu task'!$E$5:$E$64,MATCH($B326,'Mẫu task'!$A$5:$A$64,0)),""))</f>
        <v/>
      </c>
      <c r="G326" s="19"/>
      <c r="H326" s="20"/>
      <c r="I326" s="14" t="str">
        <f aca="false">IF($B326="","",IFERROR(INDEX('Mẫu task'!$H$5:$H$64,MATCH($B326,'Mẫu task'!$A$5:$A$64,0)),""))</f>
        <v/>
      </c>
      <c r="J326" s="24" t="str">
        <f aca="false">IF(OR($H326="",$I326=""),"",$H326+$I326)</f>
        <v/>
      </c>
      <c r="K326" s="22"/>
      <c r="L326" s="20"/>
      <c r="M326" s="14" t="str">
        <f aca="true">IF($B326="","",IF($K326="Hoàn thành","Xong",IF($K326="Không áp dụng","—",IF($K326="Bị chặn","Bị chặn",IF($O326=1,"TRỄ "&amp;(TODAY()-$J326)&amp;" ngày",IF(AND($K326="Đang làm",$P326&gt;0),"Bước trước chưa xong",IF(AND($J326&lt;&gt;"",N($J326)-TODAY()&lt;=3),"Sắp đến hạn",IF($K326="Đang làm","Đang làm","Chưa bắt đầu"))))))))</f>
        <v/>
      </c>
      <c r="N326" s="25"/>
      <c r="O326" s="26" t="n">
        <f aca="true">IF(AND($B326&lt;&gt;"",$K326&lt;&gt;"Hoàn thành",$K326&lt;&gt;"Không áp dụng",$J326&lt;&gt;""),IF($J326&lt;TODAY(),1,0),0)</f>
        <v>0</v>
      </c>
      <c r="P326" s="26" t="n">
        <f aca="false">IF(AND($B326&lt;&gt;"",$C326&lt;&gt;"",N($C326)&gt;1),COUNTIFS(Task!$A$5:$A$404,$A326,Task!$C$5:$C$404,N($C326)-1,Task!$K$5:$K$404,"&lt;&gt;Hoàn thành",Task!$K$5:$K$404,"&lt;&gt;Không áp dụng"),0)</f>
        <v>0</v>
      </c>
    </row>
    <row r="327" customFormat="false" ht="15" hidden="false" customHeight="false" outlineLevel="0" collapsed="false">
      <c r="A327" s="19"/>
      <c r="B327" s="22"/>
      <c r="C327" s="14" t="str">
        <f aca="false">IF($B327="","",IFERROR(INDEX('Mẫu task'!$B$5:$B$64,MATCH($B327,'Mẫu task'!$A$5:$A$64,0)),""))</f>
        <v/>
      </c>
      <c r="D327" s="15" t="str">
        <f aca="false">IF($C327="","",IFERROR(INDEX('Quy trình'!$B$5:$B$12,MATCH($C327,'Quy trình'!$A$5:$A$12,0)),""))</f>
        <v/>
      </c>
      <c r="E327" s="23" t="str">
        <f aca="false">IF($B327="","",IFERROR(INDEX('Mẫu task'!$D$5:$D$64,MATCH($B327,'Mẫu task'!$A$5:$A$64,0)),""))</f>
        <v/>
      </c>
      <c r="F327" s="23" t="str">
        <f aca="false">IF($B327="","",IFERROR(INDEX('Mẫu task'!$E$5:$E$64,MATCH($B327,'Mẫu task'!$A$5:$A$64,0)),""))</f>
        <v/>
      </c>
      <c r="G327" s="19"/>
      <c r="H327" s="20"/>
      <c r="I327" s="14" t="str">
        <f aca="false">IF($B327="","",IFERROR(INDEX('Mẫu task'!$H$5:$H$64,MATCH($B327,'Mẫu task'!$A$5:$A$64,0)),""))</f>
        <v/>
      </c>
      <c r="J327" s="24" t="str">
        <f aca="false">IF(OR($H327="",$I327=""),"",$H327+$I327)</f>
        <v/>
      </c>
      <c r="K327" s="22"/>
      <c r="L327" s="20"/>
      <c r="M327" s="14" t="str">
        <f aca="true">IF($B327="","",IF($K327="Hoàn thành","Xong",IF($K327="Không áp dụng","—",IF($K327="Bị chặn","Bị chặn",IF($O327=1,"TRỄ "&amp;(TODAY()-$J327)&amp;" ngày",IF(AND($K327="Đang làm",$P327&gt;0),"Bước trước chưa xong",IF(AND($J327&lt;&gt;"",N($J327)-TODAY()&lt;=3),"Sắp đến hạn",IF($K327="Đang làm","Đang làm","Chưa bắt đầu"))))))))</f>
        <v/>
      </c>
      <c r="N327" s="25"/>
      <c r="O327" s="26" t="n">
        <f aca="true">IF(AND($B327&lt;&gt;"",$K327&lt;&gt;"Hoàn thành",$K327&lt;&gt;"Không áp dụng",$J327&lt;&gt;""),IF($J327&lt;TODAY(),1,0),0)</f>
        <v>0</v>
      </c>
      <c r="P327" s="26" t="n">
        <f aca="false">IF(AND($B327&lt;&gt;"",$C327&lt;&gt;"",N($C327)&gt;1),COUNTIFS(Task!$A$5:$A$404,$A327,Task!$C$5:$C$404,N($C327)-1,Task!$K$5:$K$404,"&lt;&gt;Hoàn thành",Task!$K$5:$K$404,"&lt;&gt;Không áp dụng"),0)</f>
        <v>0</v>
      </c>
    </row>
    <row r="328" customFormat="false" ht="15" hidden="false" customHeight="false" outlineLevel="0" collapsed="false">
      <c r="A328" s="19"/>
      <c r="B328" s="22"/>
      <c r="C328" s="14" t="str">
        <f aca="false">IF($B328="","",IFERROR(INDEX('Mẫu task'!$B$5:$B$64,MATCH($B328,'Mẫu task'!$A$5:$A$64,0)),""))</f>
        <v/>
      </c>
      <c r="D328" s="15" t="str">
        <f aca="false">IF($C328="","",IFERROR(INDEX('Quy trình'!$B$5:$B$12,MATCH($C328,'Quy trình'!$A$5:$A$12,0)),""))</f>
        <v/>
      </c>
      <c r="E328" s="23" t="str">
        <f aca="false">IF($B328="","",IFERROR(INDEX('Mẫu task'!$D$5:$D$64,MATCH($B328,'Mẫu task'!$A$5:$A$64,0)),""))</f>
        <v/>
      </c>
      <c r="F328" s="23" t="str">
        <f aca="false">IF($B328="","",IFERROR(INDEX('Mẫu task'!$E$5:$E$64,MATCH($B328,'Mẫu task'!$A$5:$A$64,0)),""))</f>
        <v/>
      </c>
      <c r="G328" s="19"/>
      <c r="H328" s="20"/>
      <c r="I328" s="14" t="str">
        <f aca="false">IF($B328="","",IFERROR(INDEX('Mẫu task'!$H$5:$H$64,MATCH($B328,'Mẫu task'!$A$5:$A$64,0)),""))</f>
        <v/>
      </c>
      <c r="J328" s="24" t="str">
        <f aca="false">IF(OR($H328="",$I328=""),"",$H328+$I328)</f>
        <v/>
      </c>
      <c r="K328" s="22"/>
      <c r="L328" s="20"/>
      <c r="M328" s="14" t="str">
        <f aca="true">IF($B328="","",IF($K328="Hoàn thành","Xong",IF($K328="Không áp dụng","—",IF($K328="Bị chặn","Bị chặn",IF($O328=1,"TRỄ "&amp;(TODAY()-$J328)&amp;" ngày",IF(AND($K328="Đang làm",$P328&gt;0),"Bước trước chưa xong",IF(AND($J328&lt;&gt;"",N($J328)-TODAY()&lt;=3),"Sắp đến hạn",IF($K328="Đang làm","Đang làm","Chưa bắt đầu"))))))))</f>
        <v/>
      </c>
      <c r="N328" s="25"/>
      <c r="O328" s="26" t="n">
        <f aca="true">IF(AND($B328&lt;&gt;"",$K328&lt;&gt;"Hoàn thành",$K328&lt;&gt;"Không áp dụng",$J328&lt;&gt;""),IF($J328&lt;TODAY(),1,0),0)</f>
        <v>0</v>
      </c>
      <c r="P328" s="26" t="n">
        <f aca="false">IF(AND($B328&lt;&gt;"",$C328&lt;&gt;"",N($C328)&gt;1),COUNTIFS(Task!$A$5:$A$404,$A328,Task!$C$5:$C$404,N($C328)-1,Task!$K$5:$K$404,"&lt;&gt;Hoàn thành",Task!$K$5:$K$404,"&lt;&gt;Không áp dụng"),0)</f>
        <v>0</v>
      </c>
    </row>
    <row r="329" customFormat="false" ht="15" hidden="false" customHeight="false" outlineLevel="0" collapsed="false">
      <c r="A329" s="19"/>
      <c r="B329" s="22"/>
      <c r="C329" s="14" t="str">
        <f aca="false">IF($B329="","",IFERROR(INDEX('Mẫu task'!$B$5:$B$64,MATCH($B329,'Mẫu task'!$A$5:$A$64,0)),""))</f>
        <v/>
      </c>
      <c r="D329" s="15" t="str">
        <f aca="false">IF($C329="","",IFERROR(INDEX('Quy trình'!$B$5:$B$12,MATCH($C329,'Quy trình'!$A$5:$A$12,0)),""))</f>
        <v/>
      </c>
      <c r="E329" s="23" t="str">
        <f aca="false">IF($B329="","",IFERROR(INDEX('Mẫu task'!$D$5:$D$64,MATCH($B329,'Mẫu task'!$A$5:$A$64,0)),""))</f>
        <v/>
      </c>
      <c r="F329" s="23" t="str">
        <f aca="false">IF($B329="","",IFERROR(INDEX('Mẫu task'!$E$5:$E$64,MATCH($B329,'Mẫu task'!$A$5:$A$64,0)),""))</f>
        <v/>
      </c>
      <c r="G329" s="19"/>
      <c r="H329" s="20"/>
      <c r="I329" s="14" t="str">
        <f aca="false">IF($B329="","",IFERROR(INDEX('Mẫu task'!$H$5:$H$64,MATCH($B329,'Mẫu task'!$A$5:$A$64,0)),""))</f>
        <v/>
      </c>
      <c r="J329" s="24" t="str">
        <f aca="false">IF(OR($H329="",$I329=""),"",$H329+$I329)</f>
        <v/>
      </c>
      <c r="K329" s="22"/>
      <c r="L329" s="20"/>
      <c r="M329" s="14" t="str">
        <f aca="true">IF($B329="","",IF($K329="Hoàn thành","Xong",IF($K329="Không áp dụng","—",IF($K329="Bị chặn","Bị chặn",IF($O329=1,"TRỄ "&amp;(TODAY()-$J329)&amp;" ngày",IF(AND($K329="Đang làm",$P329&gt;0),"Bước trước chưa xong",IF(AND($J329&lt;&gt;"",N($J329)-TODAY()&lt;=3),"Sắp đến hạn",IF($K329="Đang làm","Đang làm","Chưa bắt đầu"))))))))</f>
        <v/>
      </c>
      <c r="N329" s="25"/>
      <c r="O329" s="26" t="n">
        <f aca="true">IF(AND($B329&lt;&gt;"",$K329&lt;&gt;"Hoàn thành",$K329&lt;&gt;"Không áp dụng",$J329&lt;&gt;""),IF($J329&lt;TODAY(),1,0),0)</f>
        <v>0</v>
      </c>
      <c r="P329" s="26" t="n">
        <f aca="false">IF(AND($B329&lt;&gt;"",$C329&lt;&gt;"",N($C329)&gt;1),COUNTIFS(Task!$A$5:$A$404,$A329,Task!$C$5:$C$404,N($C329)-1,Task!$K$5:$K$404,"&lt;&gt;Hoàn thành",Task!$K$5:$K$404,"&lt;&gt;Không áp dụng"),0)</f>
        <v>0</v>
      </c>
    </row>
    <row r="330" customFormat="false" ht="15" hidden="false" customHeight="false" outlineLevel="0" collapsed="false">
      <c r="A330" s="19"/>
      <c r="B330" s="22"/>
      <c r="C330" s="14" t="str">
        <f aca="false">IF($B330="","",IFERROR(INDEX('Mẫu task'!$B$5:$B$64,MATCH($B330,'Mẫu task'!$A$5:$A$64,0)),""))</f>
        <v/>
      </c>
      <c r="D330" s="15" t="str">
        <f aca="false">IF($C330="","",IFERROR(INDEX('Quy trình'!$B$5:$B$12,MATCH($C330,'Quy trình'!$A$5:$A$12,0)),""))</f>
        <v/>
      </c>
      <c r="E330" s="23" t="str">
        <f aca="false">IF($B330="","",IFERROR(INDEX('Mẫu task'!$D$5:$D$64,MATCH($B330,'Mẫu task'!$A$5:$A$64,0)),""))</f>
        <v/>
      </c>
      <c r="F330" s="23" t="str">
        <f aca="false">IF($B330="","",IFERROR(INDEX('Mẫu task'!$E$5:$E$64,MATCH($B330,'Mẫu task'!$A$5:$A$64,0)),""))</f>
        <v/>
      </c>
      <c r="G330" s="19"/>
      <c r="H330" s="20"/>
      <c r="I330" s="14" t="str">
        <f aca="false">IF($B330="","",IFERROR(INDEX('Mẫu task'!$H$5:$H$64,MATCH($B330,'Mẫu task'!$A$5:$A$64,0)),""))</f>
        <v/>
      </c>
      <c r="J330" s="24" t="str">
        <f aca="false">IF(OR($H330="",$I330=""),"",$H330+$I330)</f>
        <v/>
      </c>
      <c r="K330" s="22"/>
      <c r="L330" s="20"/>
      <c r="M330" s="14" t="str">
        <f aca="true">IF($B330="","",IF($K330="Hoàn thành","Xong",IF($K330="Không áp dụng","—",IF($K330="Bị chặn","Bị chặn",IF($O330=1,"TRỄ "&amp;(TODAY()-$J330)&amp;" ngày",IF(AND($K330="Đang làm",$P330&gt;0),"Bước trước chưa xong",IF(AND($J330&lt;&gt;"",N($J330)-TODAY()&lt;=3),"Sắp đến hạn",IF($K330="Đang làm","Đang làm","Chưa bắt đầu"))))))))</f>
        <v/>
      </c>
      <c r="N330" s="25"/>
      <c r="O330" s="26" t="n">
        <f aca="true">IF(AND($B330&lt;&gt;"",$K330&lt;&gt;"Hoàn thành",$K330&lt;&gt;"Không áp dụng",$J330&lt;&gt;""),IF($J330&lt;TODAY(),1,0),0)</f>
        <v>0</v>
      </c>
      <c r="P330" s="26" t="n">
        <f aca="false">IF(AND($B330&lt;&gt;"",$C330&lt;&gt;"",N($C330)&gt;1),COUNTIFS(Task!$A$5:$A$404,$A330,Task!$C$5:$C$404,N($C330)-1,Task!$K$5:$K$404,"&lt;&gt;Hoàn thành",Task!$K$5:$K$404,"&lt;&gt;Không áp dụng"),0)</f>
        <v>0</v>
      </c>
    </row>
    <row r="331" customFormat="false" ht="15" hidden="false" customHeight="false" outlineLevel="0" collapsed="false">
      <c r="A331" s="19"/>
      <c r="B331" s="22"/>
      <c r="C331" s="14" t="str">
        <f aca="false">IF($B331="","",IFERROR(INDEX('Mẫu task'!$B$5:$B$64,MATCH($B331,'Mẫu task'!$A$5:$A$64,0)),""))</f>
        <v/>
      </c>
      <c r="D331" s="15" t="str">
        <f aca="false">IF($C331="","",IFERROR(INDEX('Quy trình'!$B$5:$B$12,MATCH($C331,'Quy trình'!$A$5:$A$12,0)),""))</f>
        <v/>
      </c>
      <c r="E331" s="23" t="str">
        <f aca="false">IF($B331="","",IFERROR(INDEX('Mẫu task'!$D$5:$D$64,MATCH($B331,'Mẫu task'!$A$5:$A$64,0)),""))</f>
        <v/>
      </c>
      <c r="F331" s="23" t="str">
        <f aca="false">IF($B331="","",IFERROR(INDEX('Mẫu task'!$E$5:$E$64,MATCH($B331,'Mẫu task'!$A$5:$A$64,0)),""))</f>
        <v/>
      </c>
      <c r="G331" s="19"/>
      <c r="H331" s="20"/>
      <c r="I331" s="14" t="str">
        <f aca="false">IF($B331="","",IFERROR(INDEX('Mẫu task'!$H$5:$H$64,MATCH($B331,'Mẫu task'!$A$5:$A$64,0)),""))</f>
        <v/>
      </c>
      <c r="J331" s="24" t="str">
        <f aca="false">IF(OR($H331="",$I331=""),"",$H331+$I331)</f>
        <v/>
      </c>
      <c r="K331" s="22"/>
      <c r="L331" s="20"/>
      <c r="M331" s="14" t="str">
        <f aca="true">IF($B331="","",IF($K331="Hoàn thành","Xong",IF($K331="Không áp dụng","—",IF($K331="Bị chặn","Bị chặn",IF($O331=1,"TRỄ "&amp;(TODAY()-$J331)&amp;" ngày",IF(AND($K331="Đang làm",$P331&gt;0),"Bước trước chưa xong",IF(AND($J331&lt;&gt;"",N($J331)-TODAY()&lt;=3),"Sắp đến hạn",IF($K331="Đang làm","Đang làm","Chưa bắt đầu"))))))))</f>
        <v/>
      </c>
      <c r="N331" s="25"/>
      <c r="O331" s="26" t="n">
        <f aca="true">IF(AND($B331&lt;&gt;"",$K331&lt;&gt;"Hoàn thành",$K331&lt;&gt;"Không áp dụng",$J331&lt;&gt;""),IF($J331&lt;TODAY(),1,0),0)</f>
        <v>0</v>
      </c>
      <c r="P331" s="26" t="n">
        <f aca="false">IF(AND($B331&lt;&gt;"",$C331&lt;&gt;"",N($C331)&gt;1),COUNTIFS(Task!$A$5:$A$404,$A331,Task!$C$5:$C$404,N($C331)-1,Task!$K$5:$K$404,"&lt;&gt;Hoàn thành",Task!$K$5:$K$404,"&lt;&gt;Không áp dụng"),0)</f>
        <v>0</v>
      </c>
    </row>
    <row r="332" customFormat="false" ht="15" hidden="false" customHeight="false" outlineLevel="0" collapsed="false">
      <c r="A332" s="19"/>
      <c r="B332" s="22"/>
      <c r="C332" s="14" t="str">
        <f aca="false">IF($B332="","",IFERROR(INDEX('Mẫu task'!$B$5:$B$64,MATCH($B332,'Mẫu task'!$A$5:$A$64,0)),""))</f>
        <v/>
      </c>
      <c r="D332" s="15" t="str">
        <f aca="false">IF($C332="","",IFERROR(INDEX('Quy trình'!$B$5:$B$12,MATCH($C332,'Quy trình'!$A$5:$A$12,0)),""))</f>
        <v/>
      </c>
      <c r="E332" s="23" t="str">
        <f aca="false">IF($B332="","",IFERROR(INDEX('Mẫu task'!$D$5:$D$64,MATCH($B332,'Mẫu task'!$A$5:$A$64,0)),""))</f>
        <v/>
      </c>
      <c r="F332" s="23" t="str">
        <f aca="false">IF($B332="","",IFERROR(INDEX('Mẫu task'!$E$5:$E$64,MATCH($B332,'Mẫu task'!$A$5:$A$64,0)),""))</f>
        <v/>
      </c>
      <c r="G332" s="19"/>
      <c r="H332" s="20"/>
      <c r="I332" s="14" t="str">
        <f aca="false">IF($B332="","",IFERROR(INDEX('Mẫu task'!$H$5:$H$64,MATCH($B332,'Mẫu task'!$A$5:$A$64,0)),""))</f>
        <v/>
      </c>
      <c r="J332" s="24" t="str">
        <f aca="false">IF(OR($H332="",$I332=""),"",$H332+$I332)</f>
        <v/>
      </c>
      <c r="K332" s="22"/>
      <c r="L332" s="20"/>
      <c r="M332" s="14" t="str">
        <f aca="true">IF($B332="","",IF($K332="Hoàn thành","Xong",IF($K332="Không áp dụng","—",IF($K332="Bị chặn","Bị chặn",IF($O332=1,"TRỄ "&amp;(TODAY()-$J332)&amp;" ngày",IF(AND($K332="Đang làm",$P332&gt;0),"Bước trước chưa xong",IF(AND($J332&lt;&gt;"",N($J332)-TODAY()&lt;=3),"Sắp đến hạn",IF($K332="Đang làm","Đang làm","Chưa bắt đầu"))))))))</f>
        <v/>
      </c>
      <c r="N332" s="25"/>
      <c r="O332" s="26" t="n">
        <f aca="true">IF(AND($B332&lt;&gt;"",$K332&lt;&gt;"Hoàn thành",$K332&lt;&gt;"Không áp dụng",$J332&lt;&gt;""),IF($J332&lt;TODAY(),1,0),0)</f>
        <v>0</v>
      </c>
      <c r="P332" s="26" t="n">
        <f aca="false">IF(AND($B332&lt;&gt;"",$C332&lt;&gt;"",N($C332)&gt;1),COUNTIFS(Task!$A$5:$A$404,$A332,Task!$C$5:$C$404,N($C332)-1,Task!$K$5:$K$404,"&lt;&gt;Hoàn thành",Task!$K$5:$K$404,"&lt;&gt;Không áp dụng"),0)</f>
        <v>0</v>
      </c>
    </row>
    <row r="333" customFormat="false" ht="15" hidden="false" customHeight="false" outlineLevel="0" collapsed="false">
      <c r="A333" s="19"/>
      <c r="B333" s="22"/>
      <c r="C333" s="14" t="str">
        <f aca="false">IF($B333="","",IFERROR(INDEX('Mẫu task'!$B$5:$B$64,MATCH($B333,'Mẫu task'!$A$5:$A$64,0)),""))</f>
        <v/>
      </c>
      <c r="D333" s="15" t="str">
        <f aca="false">IF($C333="","",IFERROR(INDEX('Quy trình'!$B$5:$B$12,MATCH($C333,'Quy trình'!$A$5:$A$12,0)),""))</f>
        <v/>
      </c>
      <c r="E333" s="23" t="str">
        <f aca="false">IF($B333="","",IFERROR(INDEX('Mẫu task'!$D$5:$D$64,MATCH($B333,'Mẫu task'!$A$5:$A$64,0)),""))</f>
        <v/>
      </c>
      <c r="F333" s="23" t="str">
        <f aca="false">IF($B333="","",IFERROR(INDEX('Mẫu task'!$E$5:$E$64,MATCH($B333,'Mẫu task'!$A$5:$A$64,0)),""))</f>
        <v/>
      </c>
      <c r="G333" s="19"/>
      <c r="H333" s="20"/>
      <c r="I333" s="14" t="str">
        <f aca="false">IF($B333="","",IFERROR(INDEX('Mẫu task'!$H$5:$H$64,MATCH($B333,'Mẫu task'!$A$5:$A$64,0)),""))</f>
        <v/>
      </c>
      <c r="J333" s="24" t="str">
        <f aca="false">IF(OR($H333="",$I333=""),"",$H333+$I333)</f>
        <v/>
      </c>
      <c r="K333" s="22"/>
      <c r="L333" s="20"/>
      <c r="M333" s="14" t="str">
        <f aca="true">IF($B333="","",IF($K333="Hoàn thành","Xong",IF($K333="Không áp dụng","—",IF($K333="Bị chặn","Bị chặn",IF($O333=1,"TRỄ "&amp;(TODAY()-$J333)&amp;" ngày",IF(AND($K333="Đang làm",$P333&gt;0),"Bước trước chưa xong",IF(AND($J333&lt;&gt;"",N($J333)-TODAY()&lt;=3),"Sắp đến hạn",IF($K333="Đang làm","Đang làm","Chưa bắt đầu"))))))))</f>
        <v/>
      </c>
      <c r="N333" s="25"/>
      <c r="O333" s="26" t="n">
        <f aca="true">IF(AND($B333&lt;&gt;"",$K333&lt;&gt;"Hoàn thành",$K333&lt;&gt;"Không áp dụng",$J333&lt;&gt;""),IF($J333&lt;TODAY(),1,0),0)</f>
        <v>0</v>
      </c>
      <c r="P333" s="26" t="n">
        <f aca="false">IF(AND($B333&lt;&gt;"",$C333&lt;&gt;"",N($C333)&gt;1),COUNTIFS(Task!$A$5:$A$404,$A333,Task!$C$5:$C$404,N($C333)-1,Task!$K$5:$K$404,"&lt;&gt;Hoàn thành",Task!$K$5:$K$404,"&lt;&gt;Không áp dụng"),0)</f>
        <v>0</v>
      </c>
    </row>
    <row r="334" customFormat="false" ht="15" hidden="false" customHeight="false" outlineLevel="0" collapsed="false">
      <c r="A334" s="19"/>
      <c r="B334" s="22"/>
      <c r="C334" s="14" t="str">
        <f aca="false">IF($B334="","",IFERROR(INDEX('Mẫu task'!$B$5:$B$64,MATCH($B334,'Mẫu task'!$A$5:$A$64,0)),""))</f>
        <v/>
      </c>
      <c r="D334" s="15" t="str">
        <f aca="false">IF($C334="","",IFERROR(INDEX('Quy trình'!$B$5:$B$12,MATCH($C334,'Quy trình'!$A$5:$A$12,0)),""))</f>
        <v/>
      </c>
      <c r="E334" s="23" t="str">
        <f aca="false">IF($B334="","",IFERROR(INDEX('Mẫu task'!$D$5:$D$64,MATCH($B334,'Mẫu task'!$A$5:$A$64,0)),""))</f>
        <v/>
      </c>
      <c r="F334" s="23" t="str">
        <f aca="false">IF($B334="","",IFERROR(INDEX('Mẫu task'!$E$5:$E$64,MATCH($B334,'Mẫu task'!$A$5:$A$64,0)),""))</f>
        <v/>
      </c>
      <c r="G334" s="19"/>
      <c r="H334" s="20"/>
      <c r="I334" s="14" t="str">
        <f aca="false">IF($B334="","",IFERROR(INDEX('Mẫu task'!$H$5:$H$64,MATCH($B334,'Mẫu task'!$A$5:$A$64,0)),""))</f>
        <v/>
      </c>
      <c r="J334" s="24" t="str">
        <f aca="false">IF(OR($H334="",$I334=""),"",$H334+$I334)</f>
        <v/>
      </c>
      <c r="K334" s="22"/>
      <c r="L334" s="20"/>
      <c r="M334" s="14" t="str">
        <f aca="true">IF($B334="","",IF($K334="Hoàn thành","Xong",IF($K334="Không áp dụng","—",IF($K334="Bị chặn","Bị chặn",IF($O334=1,"TRỄ "&amp;(TODAY()-$J334)&amp;" ngày",IF(AND($K334="Đang làm",$P334&gt;0),"Bước trước chưa xong",IF(AND($J334&lt;&gt;"",N($J334)-TODAY()&lt;=3),"Sắp đến hạn",IF($K334="Đang làm","Đang làm","Chưa bắt đầu"))))))))</f>
        <v/>
      </c>
      <c r="N334" s="25"/>
      <c r="O334" s="26" t="n">
        <f aca="true">IF(AND($B334&lt;&gt;"",$K334&lt;&gt;"Hoàn thành",$K334&lt;&gt;"Không áp dụng",$J334&lt;&gt;""),IF($J334&lt;TODAY(),1,0),0)</f>
        <v>0</v>
      </c>
      <c r="P334" s="26" t="n">
        <f aca="false">IF(AND($B334&lt;&gt;"",$C334&lt;&gt;"",N($C334)&gt;1),COUNTIFS(Task!$A$5:$A$404,$A334,Task!$C$5:$C$404,N($C334)-1,Task!$K$5:$K$404,"&lt;&gt;Hoàn thành",Task!$K$5:$K$404,"&lt;&gt;Không áp dụng"),0)</f>
        <v>0</v>
      </c>
    </row>
    <row r="335" customFormat="false" ht="15" hidden="false" customHeight="false" outlineLevel="0" collapsed="false">
      <c r="A335" s="19"/>
      <c r="B335" s="22"/>
      <c r="C335" s="14" t="str">
        <f aca="false">IF($B335="","",IFERROR(INDEX('Mẫu task'!$B$5:$B$64,MATCH($B335,'Mẫu task'!$A$5:$A$64,0)),""))</f>
        <v/>
      </c>
      <c r="D335" s="15" t="str">
        <f aca="false">IF($C335="","",IFERROR(INDEX('Quy trình'!$B$5:$B$12,MATCH($C335,'Quy trình'!$A$5:$A$12,0)),""))</f>
        <v/>
      </c>
      <c r="E335" s="23" t="str">
        <f aca="false">IF($B335="","",IFERROR(INDEX('Mẫu task'!$D$5:$D$64,MATCH($B335,'Mẫu task'!$A$5:$A$64,0)),""))</f>
        <v/>
      </c>
      <c r="F335" s="23" t="str">
        <f aca="false">IF($B335="","",IFERROR(INDEX('Mẫu task'!$E$5:$E$64,MATCH($B335,'Mẫu task'!$A$5:$A$64,0)),""))</f>
        <v/>
      </c>
      <c r="G335" s="19"/>
      <c r="H335" s="20"/>
      <c r="I335" s="14" t="str">
        <f aca="false">IF($B335="","",IFERROR(INDEX('Mẫu task'!$H$5:$H$64,MATCH($B335,'Mẫu task'!$A$5:$A$64,0)),""))</f>
        <v/>
      </c>
      <c r="J335" s="24" t="str">
        <f aca="false">IF(OR($H335="",$I335=""),"",$H335+$I335)</f>
        <v/>
      </c>
      <c r="K335" s="22"/>
      <c r="L335" s="20"/>
      <c r="M335" s="14" t="str">
        <f aca="true">IF($B335="","",IF($K335="Hoàn thành","Xong",IF($K335="Không áp dụng","—",IF($K335="Bị chặn","Bị chặn",IF($O335=1,"TRỄ "&amp;(TODAY()-$J335)&amp;" ngày",IF(AND($K335="Đang làm",$P335&gt;0),"Bước trước chưa xong",IF(AND($J335&lt;&gt;"",N($J335)-TODAY()&lt;=3),"Sắp đến hạn",IF($K335="Đang làm","Đang làm","Chưa bắt đầu"))))))))</f>
        <v/>
      </c>
      <c r="N335" s="25"/>
      <c r="O335" s="26" t="n">
        <f aca="true">IF(AND($B335&lt;&gt;"",$K335&lt;&gt;"Hoàn thành",$K335&lt;&gt;"Không áp dụng",$J335&lt;&gt;""),IF($J335&lt;TODAY(),1,0),0)</f>
        <v>0</v>
      </c>
      <c r="P335" s="26" t="n">
        <f aca="false">IF(AND($B335&lt;&gt;"",$C335&lt;&gt;"",N($C335)&gt;1),COUNTIFS(Task!$A$5:$A$404,$A335,Task!$C$5:$C$404,N($C335)-1,Task!$K$5:$K$404,"&lt;&gt;Hoàn thành",Task!$K$5:$K$404,"&lt;&gt;Không áp dụng"),0)</f>
        <v>0</v>
      </c>
    </row>
    <row r="336" customFormat="false" ht="15" hidden="false" customHeight="false" outlineLevel="0" collapsed="false">
      <c r="A336" s="19"/>
      <c r="B336" s="22"/>
      <c r="C336" s="14" t="str">
        <f aca="false">IF($B336="","",IFERROR(INDEX('Mẫu task'!$B$5:$B$64,MATCH($B336,'Mẫu task'!$A$5:$A$64,0)),""))</f>
        <v/>
      </c>
      <c r="D336" s="15" t="str">
        <f aca="false">IF($C336="","",IFERROR(INDEX('Quy trình'!$B$5:$B$12,MATCH($C336,'Quy trình'!$A$5:$A$12,0)),""))</f>
        <v/>
      </c>
      <c r="E336" s="23" t="str">
        <f aca="false">IF($B336="","",IFERROR(INDEX('Mẫu task'!$D$5:$D$64,MATCH($B336,'Mẫu task'!$A$5:$A$64,0)),""))</f>
        <v/>
      </c>
      <c r="F336" s="23" t="str">
        <f aca="false">IF($B336="","",IFERROR(INDEX('Mẫu task'!$E$5:$E$64,MATCH($B336,'Mẫu task'!$A$5:$A$64,0)),""))</f>
        <v/>
      </c>
      <c r="G336" s="19"/>
      <c r="H336" s="20"/>
      <c r="I336" s="14" t="str">
        <f aca="false">IF($B336="","",IFERROR(INDEX('Mẫu task'!$H$5:$H$64,MATCH($B336,'Mẫu task'!$A$5:$A$64,0)),""))</f>
        <v/>
      </c>
      <c r="J336" s="24" t="str">
        <f aca="false">IF(OR($H336="",$I336=""),"",$H336+$I336)</f>
        <v/>
      </c>
      <c r="K336" s="22"/>
      <c r="L336" s="20"/>
      <c r="M336" s="14" t="str">
        <f aca="true">IF($B336="","",IF($K336="Hoàn thành","Xong",IF($K336="Không áp dụng","—",IF($K336="Bị chặn","Bị chặn",IF($O336=1,"TRỄ "&amp;(TODAY()-$J336)&amp;" ngày",IF(AND($K336="Đang làm",$P336&gt;0),"Bước trước chưa xong",IF(AND($J336&lt;&gt;"",N($J336)-TODAY()&lt;=3),"Sắp đến hạn",IF($K336="Đang làm","Đang làm","Chưa bắt đầu"))))))))</f>
        <v/>
      </c>
      <c r="N336" s="25"/>
      <c r="O336" s="26" t="n">
        <f aca="true">IF(AND($B336&lt;&gt;"",$K336&lt;&gt;"Hoàn thành",$K336&lt;&gt;"Không áp dụng",$J336&lt;&gt;""),IF($J336&lt;TODAY(),1,0),0)</f>
        <v>0</v>
      </c>
      <c r="P336" s="26" t="n">
        <f aca="false">IF(AND($B336&lt;&gt;"",$C336&lt;&gt;"",N($C336)&gt;1),COUNTIFS(Task!$A$5:$A$404,$A336,Task!$C$5:$C$404,N($C336)-1,Task!$K$5:$K$404,"&lt;&gt;Hoàn thành",Task!$K$5:$K$404,"&lt;&gt;Không áp dụng"),0)</f>
        <v>0</v>
      </c>
    </row>
    <row r="337" customFormat="false" ht="15" hidden="false" customHeight="false" outlineLevel="0" collapsed="false">
      <c r="A337" s="19"/>
      <c r="B337" s="22"/>
      <c r="C337" s="14" t="str">
        <f aca="false">IF($B337="","",IFERROR(INDEX('Mẫu task'!$B$5:$B$64,MATCH($B337,'Mẫu task'!$A$5:$A$64,0)),""))</f>
        <v/>
      </c>
      <c r="D337" s="15" t="str">
        <f aca="false">IF($C337="","",IFERROR(INDEX('Quy trình'!$B$5:$B$12,MATCH($C337,'Quy trình'!$A$5:$A$12,0)),""))</f>
        <v/>
      </c>
      <c r="E337" s="23" t="str">
        <f aca="false">IF($B337="","",IFERROR(INDEX('Mẫu task'!$D$5:$D$64,MATCH($B337,'Mẫu task'!$A$5:$A$64,0)),""))</f>
        <v/>
      </c>
      <c r="F337" s="23" t="str">
        <f aca="false">IF($B337="","",IFERROR(INDEX('Mẫu task'!$E$5:$E$64,MATCH($B337,'Mẫu task'!$A$5:$A$64,0)),""))</f>
        <v/>
      </c>
      <c r="G337" s="19"/>
      <c r="H337" s="20"/>
      <c r="I337" s="14" t="str">
        <f aca="false">IF($B337="","",IFERROR(INDEX('Mẫu task'!$H$5:$H$64,MATCH($B337,'Mẫu task'!$A$5:$A$64,0)),""))</f>
        <v/>
      </c>
      <c r="J337" s="24" t="str">
        <f aca="false">IF(OR($H337="",$I337=""),"",$H337+$I337)</f>
        <v/>
      </c>
      <c r="K337" s="22"/>
      <c r="L337" s="20"/>
      <c r="M337" s="14" t="str">
        <f aca="true">IF($B337="","",IF($K337="Hoàn thành","Xong",IF($K337="Không áp dụng","—",IF($K337="Bị chặn","Bị chặn",IF($O337=1,"TRỄ "&amp;(TODAY()-$J337)&amp;" ngày",IF(AND($K337="Đang làm",$P337&gt;0),"Bước trước chưa xong",IF(AND($J337&lt;&gt;"",N($J337)-TODAY()&lt;=3),"Sắp đến hạn",IF($K337="Đang làm","Đang làm","Chưa bắt đầu"))))))))</f>
        <v/>
      </c>
      <c r="N337" s="25"/>
      <c r="O337" s="26" t="n">
        <f aca="true">IF(AND($B337&lt;&gt;"",$K337&lt;&gt;"Hoàn thành",$K337&lt;&gt;"Không áp dụng",$J337&lt;&gt;""),IF($J337&lt;TODAY(),1,0),0)</f>
        <v>0</v>
      </c>
      <c r="P337" s="26" t="n">
        <f aca="false">IF(AND($B337&lt;&gt;"",$C337&lt;&gt;"",N($C337)&gt;1),COUNTIFS(Task!$A$5:$A$404,$A337,Task!$C$5:$C$404,N($C337)-1,Task!$K$5:$K$404,"&lt;&gt;Hoàn thành",Task!$K$5:$K$404,"&lt;&gt;Không áp dụng"),0)</f>
        <v>0</v>
      </c>
    </row>
    <row r="338" customFormat="false" ht="15" hidden="false" customHeight="false" outlineLevel="0" collapsed="false">
      <c r="A338" s="19"/>
      <c r="B338" s="22"/>
      <c r="C338" s="14" t="str">
        <f aca="false">IF($B338="","",IFERROR(INDEX('Mẫu task'!$B$5:$B$64,MATCH($B338,'Mẫu task'!$A$5:$A$64,0)),""))</f>
        <v/>
      </c>
      <c r="D338" s="15" t="str">
        <f aca="false">IF($C338="","",IFERROR(INDEX('Quy trình'!$B$5:$B$12,MATCH($C338,'Quy trình'!$A$5:$A$12,0)),""))</f>
        <v/>
      </c>
      <c r="E338" s="23" t="str">
        <f aca="false">IF($B338="","",IFERROR(INDEX('Mẫu task'!$D$5:$D$64,MATCH($B338,'Mẫu task'!$A$5:$A$64,0)),""))</f>
        <v/>
      </c>
      <c r="F338" s="23" t="str">
        <f aca="false">IF($B338="","",IFERROR(INDEX('Mẫu task'!$E$5:$E$64,MATCH($B338,'Mẫu task'!$A$5:$A$64,0)),""))</f>
        <v/>
      </c>
      <c r="G338" s="19"/>
      <c r="H338" s="20"/>
      <c r="I338" s="14" t="str">
        <f aca="false">IF($B338="","",IFERROR(INDEX('Mẫu task'!$H$5:$H$64,MATCH($B338,'Mẫu task'!$A$5:$A$64,0)),""))</f>
        <v/>
      </c>
      <c r="J338" s="24" t="str">
        <f aca="false">IF(OR($H338="",$I338=""),"",$H338+$I338)</f>
        <v/>
      </c>
      <c r="K338" s="22"/>
      <c r="L338" s="20"/>
      <c r="M338" s="14" t="str">
        <f aca="true">IF($B338="","",IF($K338="Hoàn thành","Xong",IF($K338="Không áp dụng","—",IF($K338="Bị chặn","Bị chặn",IF($O338=1,"TRỄ "&amp;(TODAY()-$J338)&amp;" ngày",IF(AND($K338="Đang làm",$P338&gt;0),"Bước trước chưa xong",IF(AND($J338&lt;&gt;"",N($J338)-TODAY()&lt;=3),"Sắp đến hạn",IF($K338="Đang làm","Đang làm","Chưa bắt đầu"))))))))</f>
        <v/>
      </c>
      <c r="N338" s="25"/>
      <c r="O338" s="26" t="n">
        <f aca="true">IF(AND($B338&lt;&gt;"",$K338&lt;&gt;"Hoàn thành",$K338&lt;&gt;"Không áp dụng",$J338&lt;&gt;""),IF($J338&lt;TODAY(),1,0),0)</f>
        <v>0</v>
      </c>
      <c r="P338" s="26" t="n">
        <f aca="false">IF(AND($B338&lt;&gt;"",$C338&lt;&gt;"",N($C338)&gt;1),COUNTIFS(Task!$A$5:$A$404,$A338,Task!$C$5:$C$404,N($C338)-1,Task!$K$5:$K$404,"&lt;&gt;Hoàn thành",Task!$K$5:$K$404,"&lt;&gt;Không áp dụng"),0)</f>
        <v>0</v>
      </c>
    </row>
    <row r="339" customFormat="false" ht="15" hidden="false" customHeight="false" outlineLevel="0" collapsed="false">
      <c r="A339" s="19"/>
      <c r="B339" s="22"/>
      <c r="C339" s="14" t="str">
        <f aca="false">IF($B339="","",IFERROR(INDEX('Mẫu task'!$B$5:$B$64,MATCH($B339,'Mẫu task'!$A$5:$A$64,0)),""))</f>
        <v/>
      </c>
      <c r="D339" s="15" t="str">
        <f aca="false">IF($C339="","",IFERROR(INDEX('Quy trình'!$B$5:$B$12,MATCH($C339,'Quy trình'!$A$5:$A$12,0)),""))</f>
        <v/>
      </c>
      <c r="E339" s="23" t="str">
        <f aca="false">IF($B339="","",IFERROR(INDEX('Mẫu task'!$D$5:$D$64,MATCH($B339,'Mẫu task'!$A$5:$A$64,0)),""))</f>
        <v/>
      </c>
      <c r="F339" s="23" t="str">
        <f aca="false">IF($B339="","",IFERROR(INDEX('Mẫu task'!$E$5:$E$64,MATCH($B339,'Mẫu task'!$A$5:$A$64,0)),""))</f>
        <v/>
      </c>
      <c r="G339" s="19"/>
      <c r="H339" s="20"/>
      <c r="I339" s="14" t="str">
        <f aca="false">IF($B339="","",IFERROR(INDEX('Mẫu task'!$H$5:$H$64,MATCH($B339,'Mẫu task'!$A$5:$A$64,0)),""))</f>
        <v/>
      </c>
      <c r="J339" s="24" t="str">
        <f aca="false">IF(OR($H339="",$I339=""),"",$H339+$I339)</f>
        <v/>
      </c>
      <c r="K339" s="22"/>
      <c r="L339" s="20"/>
      <c r="M339" s="14" t="str">
        <f aca="true">IF($B339="","",IF($K339="Hoàn thành","Xong",IF($K339="Không áp dụng","—",IF($K339="Bị chặn","Bị chặn",IF($O339=1,"TRỄ "&amp;(TODAY()-$J339)&amp;" ngày",IF(AND($K339="Đang làm",$P339&gt;0),"Bước trước chưa xong",IF(AND($J339&lt;&gt;"",N($J339)-TODAY()&lt;=3),"Sắp đến hạn",IF($K339="Đang làm","Đang làm","Chưa bắt đầu"))))))))</f>
        <v/>
      </c>
      <c r="N339" s="25"/>
      <c r="O339" s="26" t="n">
        <f aca="true">IF(AND($B339&lt;&gt;"",$K339&lt;&gt;"Hoàn thành",$K339&lt;&gt;"Không áp dụng",$J339&lt;&gt;""),IF($J339&lt;TODAY(),1,0),0)</f>
        <v>0</v>
      </c>
      <c r="P339" s="26" t="n">
        <f aca="false">IF(AND($B339&lt;&gt;"",$C339&lt;&gt;"",N($C339)&gt;1),COUNTIFS(Task!$A$5:$A$404,$A339,Task!$C$5:$C$404,N($C339)-1,Task!$K$5:$K$404,"&lt;&gt;Hoàn thành",Task!$K$5:$K$404,"&lt;&gt;Không áp dụng"),0)</f>
        <v>0</v>
      </c>
    </row>
    <row r="340" customFormat="false" ht="15" hidden="false" customHeight="false" outlineLevel="0" collapsed="false">
      <c r="A340" s="19"/>
      <c r="B340" s="22"/>
      <c r="C340" s="14" t="str">
        <f aca="false">IF($B340="","",IFERROR(INDEX('Mẫu task'!$B$5:$B$64,MATCH($B340,'Mẫu task'!$A$5:$A$64,0)),""))</f>
        <v/>
      </c>
      <c r="D340" s="15" t="str">
        <f aca="false">IF($C340="","",IFERROR(INDEX('Quy trình'!$B$5:$B$12,MATCH($C340,'Quy trình'!$A$5:$A$12,0)),""))</f>
        <v/>
      </c>
      <c r="E340" s="23" t="str">
        <f aca="false">IF($B340="","",IFERROR(INDEX('Mẫu task'!$D$5:$D$64,MATCH($B340,'Mẫu task'!$A$5:$A$64,0)),""))</f>
        <v/>
      </c>
      <c r="F340" s="23" t="str">
        <f aca="false">IF($B340="","",IFERROR(INDEX('Mẫu task'!$E$5:$E$64,MATCH($B340,'Mẫu task'!$A$5:$A$64,0)),""))</f>
        <v/>
      </c>
      <c r="G340" s="19"/>
      <c r="H340" s="20"/>
      <c r="I340" s="14" t="str">
        <f aca="false">IF($B340="","",IFERROR(INDEX('Mẫu task'!$H$5:$H$64,MATCH($B340,'Mẫu task'!$A$5:$A$64,0)),""))</f>
        <v/>
      </c>
      <c r="J340" s="24" t="str">
        <f aca="false">IF(OR($H340="",$I340=""),"",$H340+$I340)</f>
        <v/>
      </c>
      <c r="K340" s="22"/>
      <c r="L340" s="20"/>
      <c r="M340" s="14" t="str">
        <f aca="true">IF($B340="","",IF($K340="Hoàn thành","Xong",IF($K340="Không áp dụng","—",IF($K340="Bị chặn","Bị chặn",IF($O340=1,"TRỄ "&amp;(TODAY()-$J340)&amp;" ngày",IF(AND($K340="Đang làm",$P340&gt;0),"Bước trước chưa xong",IF(AND($J340&lt;&gt;"",N($J340)-TODAY()&lt;=3),"Sắp đến hạn",IF($K340="Đang làm","Đang làm","Chưa bắt đầu"))))))))</f>
        <v/>
      </c>
      <c r="N340" s="25"/>
      <c r="O340" s="26" t="n">
        <f aca="true">IF(AND($B340&lt;&gt;"",$K340&lt;&gt;"Hoàn thành",$K340&lt;&gt;"Không áp dụng",$J340&lt;&gt;""),IF($J340&lt;TODAY(),1,0),0)</f>
        <v>0</v>
      </c>
      <c r="P340" s="26" t="n">
        <f aca="false">IF(AND($B340&lt;&gt;"",$C340&lt;&gt;"",N($C340)&gt;1),COUNTIFS(Task!$A$5:$A$404,$A340,Task!$C$5:$C$404,N($C340)-1,Task!$K$5:$K$404,"&lt;&gt;Hoàn thành",Task!$K$5:$K$404,"&lt;&gt;Không áp dụng"),0)</f>
        <v>0</v>
      </c>
    </row>
    <row r="341" customFormat="false" ht="15" hidden="false" customHeight="false" outlineLevel="0" collapsed="false">
      <c r="A341" s="19"/>
      <c r="B341" s="22"/>
      <c r="C341" s="14" t="str">
        <f aca="false">IF($B341="","",IFERROR(INDEX('Mẫu task'!$B$5:$B$64,MATCH($B341,'Mẫu task'!$A$5:$A$64,0)),""))</f>
        <v/>
      </c>
      <c r="D341" s="15" t="str">
        <f aca="false">IF($C341="","",IFERROR(INDEX('Quy trình'!$B$5:$B$12,MATCH($C341,'Quy trình'!$A$5:$A$12,0)),""))</f>
        <v/>
      </c>
      <c r="E341" s="23" t="str">
        <f aca="false">IF($B341="","",IFERROR(INDEX('Mẫu task'!$D$5:$D$64,MATCH($B341,'Mẫu task'!$A$5:$A$64,0)),""))</f>
        <v/>
      </c>
      <c r="F341" s="23" t="str">
        <f aca="false">IF($B341="","",IFERROR(INDEX('Mẫu task'!$E$5:$E$64,MATCH($B341,'Mẫu task'!$A$5:$A$64,0)),""))</f>
        <v/>
      </c>
      <c r="G341" s="19"/>
      <c r="H341" s="20"/>
      <c r="I341" s="14" t="str">
        <f aca="false">IF($B341="","",IFERROR(INDEX('Mẫu task'!$H$5:$H$64,MATCH($B341,'Mẫu task'!$A$5:$A$64,0)),""))</f>
        <v/>
      </c>
      <c r="J341" s="24" t="str">
        <f aca="false">IF(OR($H341="",$I341=""),"",$H341+$I341)</f>
        <v/>
      </c>
      <c r="K341" s="22"/>
      <c r="L341" s="20"/>
      <c r="M341" s="14" t="str">
        <f aca="true">IF($B341="","",IF($K341="Hoàn thành","Xong",IF($K341="Không áp dụng","—",IF($K341="Bị chặn","Bị chặn",IF($O341=1,"TRỄ "&amp;(TODAY()-$J341)&amp;" ngày",IF(AND($K341="Đang làm",$P341&gt;0),"Bước trước chưa xong",IF(AND($J341&lt;&gt;"",N($J341)-TODAY()&lt;=3),"Sắp đến hạn",IF($K341="Đang làm","Đang làm","Chưa bắt đầu"))))))))</f>
        <v/>
      </c>
      <c r="N341" s="25"/>
      <c r="O341" s="26" t="n">
        <f aca="true">IF(AND($B341&lt;&gt;"",$K341&lt;&gt;"Hoàn thành",$K341&lt;&gt;"Không áp dụng",$J341&lt;&gt;""),IF($J341&lt;TODAY(),1,0),0)</f>
        <v>0</v>
      </c>
      <c r="P341" s="26" t="n">
        <f aca="false">IF(AND($B341&lt;&gt;"",$C341&lt;&gt;"",N($C341)&gt;1),COUNTIFS(Task!$A$5:$A$404,$A341,Task!$C$5:$C$404,N($C341)-1,Task!$K$5:$K$404,"&lt;&gt;Hoàn thành",Task!$K$5:$K$404,"&lt;&gt;Không áp dụng"),0)</f>
        <v>0</v>
      </c>
    </row>
    <row r="342" customFormat="false" ht="15" hidden="false" customHeight="false" outlineLevel="0" collapsed="false">
      <c r="A342" s="19"/>
      <c r="B342" s="22"/>
      <c r="C342" s="14" t="str">
        <f aca="false">IF($B342="","",IFERROR(INDEX('Mẫu task'!$B$5:$B$64,MATCH($B342,'Mẫu task'!$A$5:$A$64,0)),""))</f>
        <v/>
      </c>
      <c r="D342" s="15" t="str">
        <f aca="false">IF($C342="","",IFERROR(INDEX('Quy trình'!$B$5:$B$12,MATCH($C342,'Quy trình'!$A$5:$A$12,0)),""))</f>
        <v/>
      </c>
      <c r="E342" s="23" t="str">
        <f aca="false">IF($B342="","",IFERROR(INDEX('Mẫu task'!$D$5:$D$64,MATCH($B342,'Mẫu task'!$A$5:$A$64,0)),""))</f>
        <v/>
      </c>
      <c r="F342" s="23" t="str">
        <f aca="false">IF($B342="","",IFERROR(INDEX('Mẫu task'!$E$5:$E$64,MATCH($B342,'Mẫu task'!$A$5:$A$64,0)),""))</f>
        <v/>
      </c>
      <c r="G342" s="19"/>
      <c r="H342" s="20"/>
      <c r="I342" s="14" t="str">
        <f aca="false">IF($B342="","",IFERROR(INDEX('Mẫu task'!$H$5:$H$64,MATCH($B342,'Mẫu task'!$A$5:$A$64,0)),""))</f>
        <v/>
      </c>
      <c r="J342" s="24" t="str">
        <f aca="false">IF(OR($H342="",$I342=""),"",$H342+$I342)</f>
        <v/>
      </c>
      <c r="K342" s="22"/>
      <c r="L342" s="20"/>
      <c r="M342" s="14" t="str">
        <f aca="true">IF($B342="","",IF($K342="Hoàn thành","Xong",IF($K342="Không áp dụng","—",IF($K342="Bị chặn","Bị chặn",IF($O342=1,"TRỄ "&amp;(TODAY()-$J342)&amp;" ngày",IF(AND($K342="Đang làm",$P342&gt;0),"Bước trước chưa xong",IF(AND($J342&lt;&gt;"",N($J342)-TODAY()&lt;=3),"Sắp đến hạn",IF($K342="Đang làm","Đang làm","Chưa bắt đầu"))))))))</f>
        <v/>
      </c>
      <c r="N342" s="25"/>
      <c r="O342" s="26" t="n">
        <f aca="true">IF(AND($B342&lt;&gt;"",$K342&lt;&gt;"Hoàn thành",$K342&lt;&gt;"Không áp dụng",$J342&lt;&gt;""),IF($J342&lt;TODAY(),1,0),0)</f>
        <v>0</v>
      </c>
      <c r="P342" s="26" t="n">
        <f aca="false">IF(AND($B342&lt;&gt;"",$C342&lt;&gt;"",N($C342)&gt;1),COUNTIFS(Task!$A$5:$A$404,$A342,Task!$C$5:$C$404,N($C342)-1,Task!$K$5:$K$404,"&lt;&gt;Hoàn thành",Task!$K$5:$K$404,"&lt;&gt;Không áp dụng"),0)</f>
        <v>0</v>
      </c>
    </row>
    <row r="343" customFormat="false" ht="15" hidden="false" customHeight="false" outlineLevel="0" collapsed="false">
      <c r="A343" s="19"/>
      <c r="B343" s="22"/>
      <c r="C343" s="14" t="str">
        <f aca="false">IF($B343="","",IFERROR(INDEX('Mẫu task'!$B$5:$B$64,MATCH($B343,'Mẫu task'!$A$5:$A$64,0)),""))</f>
        <v/>
      </c>
      <c r="D343" s="15" t="str">
        <f aca="false">IF($C343="","",IFERROR(INDEX('Quy trình'!$B$5:$B$12,MATCH($C343,'Quy trình'!$A$5:$A$12,0)),""))</f>
        <v/>
      </c>
      <c r="E343" s="23" t="str">
        <f aca="false">IF($B343="","",IFERROR(INDEX('Mẫu task'!$D$5:$D$64,MATCH($B343,'Mẫu task'!$A$5:$A$64,0)),""))</f>
        <v/>
      </c>
      <c r="F343" s="23" t="str">
        <f aca="false">IF($B343="","",IFERROR(INDEX('Mẫu task'!$E$5:$E$64,MATCH($B343,'Mẫu task'!$A$5:$A$64,0)),""))</f>
        <v/>
      </c>
      <c r="G343" s="19"/>
      <c r="H343" s="20"/>
      <c r="I343" s="14" t="str">
        <f aca="false">IF($B343="","",IFERROR(INDEX('Mẫu task'!$H$5:$H$64,MATCH($B343,'Mẫu task'!$A$5:$A$64,0)),""))</f>
        <v/>
      </c>
      <c r="J343" s="24" t="str">
        <f aca="false">IF(OR($H343="",$I343=""),"",$H343+$I343)</f>
        <v/>
      </c>
      <c r="K343" s="22"/>
      <c r="L343" s="20"/>
      <c r="M343" s="14" t="str">
        <f aca="true">IF($B343="","",IF($K343="Hoàn thành","Xong",IF($K343="Không áp dụng","—",IF($K343="Bị chặn","Bị chặn",IF($O343=1,"TRỄ "&amp;(TODAY()-$J343)&amp;" ngày",IF(AND($K343="Đang làm",$P343&gt;0),"Bước trước chưa xong",IF(AND($J343&lt;&gt;"",N($J343)-TODAY()&lt;=3),"Sắp đến hạn",IF($K343="Đang làm","Đang làm","Chưa bắt đầu"))))))))</f>
        <v/>
      </c>
      <c r="N343" s="25"/>
      <c r="O343" s="26" t="n">
        <f aca="true">IF(AND($B343&lt;&gt;"",$K343&lt;&gt;"Hoàn thành",$K343&lt;&gt;"Không áp dụng",$J343&lt;&gt;""),IF($J343&lt;TODAY(),1,0),0)</f>
        <v>0</v>
      </c>
      <c r="P343" s="26" t="n">
        <f aca="false">IF(AND($B343&lt;&gt;"",$C343&lt;&gt;"",N($C343)&gt;1),COUNTIFS(Task!$A$5:$A$404,$A343,Task!$C$5:$C$404,N($C343)-1,Task!$K$5:$K$404,"&lt;&gt;Hoàn thành",Task!$K$5:$K$404,"&lt;&gt;Không áp dụng"),0)</f>
        <v>0</v>
      </c>
    </row>
    <row r="344" customFormat="false" ht="15" hidden="false" customHeight="false" outlineLevel="0" collapsed="false">
      <c r="A344" s="19"/>
      <c r="B344" s="22"/>
      <c r="C344" s="14" t="str">
        <f aca="false">IF($B344="","",IFERROR(INDEX('Mẫu task'!$B$5:$B$64,MATCH($B344,'Mẫu task'!$A$5:$A$64,0)),""))</f>
        <v/>
      </c>
      <c r="D344" s="15" t="str">
        <f aca="false">IF($C344="","",IFERROR(INDEX('Quy trình'!$B$5:$B$12,MATCH($C344,'Quy trình'!$A$5:$A$12,0)),""))</f>
        <v/>
      </c>
      <c r="E344" s="23" t="str">
        <f aca="false">IF($B344="","",IFERROR(INDEX('Mẫu task'!$D$5:$D$64,MATCH($B344,'Mẫu task'!$A$5:$A$64,0)),""))</f>
        <v/>
      </c>
      <c r="F344" s="23" t="str">
        <f aca="false">IF($B344="","",IFERROR(INDEX('Mẫu task'!$E$5:$E$64,MATCH($B344,'Mẫu task'!$A$5:$A$64,0)),""))</f>
        <v/>
      </c>
      <c r="G344" s="19"/>
      <c r="H344" s="20"/>
      <c r="I344" s="14" t="str">
        <f aca="false">IF($B344="","",IFERROR(INDEX('Mẫu task'!$H$5:$H$64,MATCH($B344,'Mẫu task'!$A$5:$A$64,0)),""))</f>
        <v/>
      </c>
      <c r="J344" s="24" t="str">
        <f aca="false">IF(OR($H344="",$I344=""),"",$H344+$I344)</f>
        <v/>
      </c>
      <c r="K344" s="22"/>
      <c r="L344" s="20"/>
      <c r="M344" s="14" t="str">
        <f aca="true">IF($B344="","",IF($K344="Hoàn thành","Xong",IF($K344="Không áp dụng","—",IF($K344="Bị chặn","Bị chặn",IF($O344=1,"TRỄ "&amp;(TODAY()-$J344)&amp;" ngày",IF(AND($K344="Đang làm",$P344&gt;0),"Bước trước chưa xong",IF(AND($J344&lt;&gt;"",N($J344)-TODAY()&lt;=3),"Sắp đến hạn",IF($K344="Đang làm","Đang làm","Chưa bắt đầu"))))))))</f>
        <v/>
      </c>
      <c r="N344" s="25"/>
      <c r="O344" s="26" t="n">
        <f aca="true">IF(AND($B344&lt;&gt;"",$K344&lt;&gt;"Hoàn thành",$K344&lt;&gt;"Không áp dụng",$J344&lt;&gt;""),IF($J344&lt;TODAY(),1,0),0)</f>
        <v>0</v>
      </c>
      <c r="P344" s="26" t="n">
        <f aca="false">IF(AND($B344&lt;&gt;"",$C344&lt;&gt;"",N($C344)&gt;1),COUNTIFS(Task!$A$5:$A$404,$A344,Task!$C$5:$C$404,N($C344)-1,Task!$K$5:$K$404,"&lt;&gt;Hoàn thành",Task!$K$5:$K$404,"&lt;&gt;Không áp dụng"),0)</f>
        <v>0</v>
      </c>
    </row>
    <row r="345" customFormat="false" ht="15" hidden="false" customHeight="false" outlineLevel="0" collapsed="false">
      <c r="A345" s="19"/>
      <c r="B345" s="22"/>
      <c r="C345" s="14" t="str">
        <f aca="false">IF($B345="","",IFERROR(INDEX('Mẫu task'!$B$5:$B$64,MATCH($B345,'Mẫu task'!$A$5:$A$64,0)),""))</f>
        <v/>
      </c>
      <c r="D345" s="15" t="str">
        <f aca="false">IF($C345="","",IFERROR(INDEX('Quy trình'!$B$5:$B$12,MATCH($C345,'Quy trình'!$A$5:$A$12,0)),""))</f>
        <v/>
      </c>
      <c r="E345" s="23" t="str">
        <f aca="false">IF($B345="","",IFERROR(INDEX('Mẫu task'!$D$5:$D$64,MATCH($B345,'Mẫu task'!$A$5:$A$64,0)),""))</f>
        <v/>
      </c>
      <c r="F345" s="23" t="str">
        <f aca="false">IF($B345="","",IFERROR(INDEX('Mẫu task'!$E$5:$E$64,MATCH($B345,'Mẫu task'!$A$5:$A$64,0)),""))</f>
        <v/>
      </c>
      <c r="G345" s="19"/>
      <c r="H345" s="20"/>
      <c r="I345" s="14" t="str">
        <f aca="false">IF($B345="","",IFERROR(INDEX('Mẫu task'!$H$5:$H$64,MATCH($B345,'Mẫu task'!$A$5:$A$64,0)),""))</f>
        <v/>
      </c>
      <c r="J345" s="24" t="str">
        <f aca="false">IF(OR($H345="",$I345=""),"",$H345+$I345)</f>
        <v/>
      </c>
      <c r="K345" s="22"/>
      <c r="L345" s="20"/>
      <c r="M345" s="14" t="str">
        <f aca="true">IF($B345="","",IF($K345="Hoàn thành","Xong",IF($K345="Không áp dụng","—",IF($K345="Bị chặn","Bị chặn",IF($O345=1,"TRỄ "&amp;(TODAY()-$J345)&amp;" ngày",IF(AND($K345="Đang làm",$P345&gt;0),"Bước trước chưa xong",IF(AND($J345&lt;&gt;"",N($J345)-TODAY()&lt;=3),"Sắp đến hạn",IF($K345="Đang làm","Đang làm","Chưa bắt đầu"))))))))</f>
        <v/>
      </c>
      <c r="N345" s="25"/>
      <c r="O345" s="26" t="n">
        <f aca="true">IF(AND($B345&lt;&gt;"",$K345&lt;&gt;"Hoàn thành",$K345&lt;&gt;"Không áp dụng",$J345&lt;&gt;""),IF($J345&lt;TODAY(),1,0),0)</f>
        <v>0</v>
      </c>
      <c r="P345" s="26" t="n">
        <f aca="false">IF(AND($B345&lt;&gt;"",$C345&lt;&gt;"",N($C345)&gt;1),COUNTIFS(Task!$A$5:$A$404,$A345,Task!$C$5:$C$404,N($C345)-1,Task!$K$5:$K$404,"&lt;&gt;Hoàn thành",Task!$K$5:$K$404,"&lt;&gt;Không áp dụng"),0)</f>
        <v>0</v>
      </c>
    </row>
    <row r="346" customFormat="false" ht="15" hidden="false" customHeight="false" outlineLevel="0" collapsed="false">
      <c r="A346" s="19"/>
      <c r="B346" s="22"/>
      <c r="C346" s="14" t="str">
        <f aca="false">IF($B346="","",IFERROR(INDEX('Mẫu task'!$B$5:$B$64,MATCH($B346,'Mẫu task'!$A$5:$A$64,0)),""))</f>
        <v/>
      </c>
      <c r="D346" s="15" t="str">
        <f aca="false">IF($C346="","",IFERROR(INDEX('Quy trình'!$B$5:$B$12,MATCH($C346,'Quy trình'!$A$5:$A$12,0)),""))</f>
        <v/>
      </c>
      <c r="E346" s="23" t="str">
        <f aca="false">IF($B346="","",IFERROR(INDEX('Mẫu task'!$D$5:$D$64,MATCH($B346,'Mẫu task'!$A$5:$A$64,0)),""))</f>
        <v/>
      </c>
      <c r="F346" s="23" t="str">
        <f aca="false">IF($B346="","",IFERROR(INDEX('Mẫu task'!$E$5:$E$64,MATCH($B346,'Mẫu task'!$A$5:$A$64,0)),""))</f>
        <v/>
      </c>
      <c r="G346" s="19"/>
      <c r="H346" s="20"/>
      <c r="I346" s="14" t="str">
        <f aca="false">IF($B346="","",IFERROR(INDEX('Mẫu task'!$H$5:$H$64,MATCH($B346,'Mẫu task'!$A$5:$A$64,0)),""))</f>
        <v/>
      </c>
      <c r="J346" s="24" t="str">
        <f aca="false">IF(OR($H346="",$I346=""),"",$H346+$I346)</f>
        <v/>
      </c>
      <c r="K346" s="22"/>
      <c r="L346" s="20"/>
      <c r="M346" s="14" t="str">
        <f aca="true">IF($B346="","",IF($K346="Hoàn thành","Xong",IF($K346="Không áp dụng","—",IF($K346="Bị chặn","Bị chặn",IF($O346=1,"TRỄ "&amp;(TODAY()-$J346)&amp;" ngày",IF(AND($K346="Đang làm",$P346&gt;0),"Bước trước chưa xong",IF(AND($J346&lt;&gt;"",N($J346)-TODAY()&lt;=3),"Sắp đến hạn",IF($K346="Đang làm","Đang làm","Chưa bắt đầu"))))))))</f>
        <v/>
      </c>
      <c r="N346" s="25"/>
      <c r="O346" s="26" t="n">
        <f aca="true">IF(AND($B346&lt;&gt;"",$K346&lt;&gt;"Hoàn thành",$K346&lt;&gt;"Không áp dụng",$J346&lt;&gt;""),IF($J346&lt;TODAY(),1,0),0)</f>
        <v>0</v>
      </c>
      <c r="P346" s="26" t="n">
        <f aca="false">IF(AND($B346&lt;&gt;"",$C346&lt;&gt;"",N($C346)&gt;1),COUNTIFS(Task!$A$5:$A$404,$A346,Task!$C$5:$C$404,N($C346)-1,Task!$K$5:$K$404,"&lt;&gt;Hoàn thành",Task!$K$5:$K$404,"&lt;&gt;Không áp dụng"),0)</f>
        <v>0</v>
      </c>
    </row>
    <row r="347" customFormat="false" ht="15" hidden="false" customHeight="false" outlineLevel="0" collapsed="false">
      <c r="A347" s="19"/>
      <c r="B347" s="22"/>
      <c r="C347" s="14" t="str">
        <f aca="false">IF($B347="","",IFERROR(INDEX('Mẫu task'!$B$5:$B$64,MATCH($B347,'Mẫu task'!$A$5:$A$64,0)),""))</f>
        <v/>
      </c>
      <c r="D347" s="15" t="str">
        <f aca="false">IF($C347="","",IFERROR(INDEX('Quy trình'!$B$5:$B$12,MATCH($C347,'Quy trình'!$A$5:$A$12,0)),""))</f>
        <v/>
      </c>
      <c r="E347" s="23" t="str">
        <f aca="false">IF($B347="","",IFERROR(INDEX('Mẫu task'!$D$5:$D$64,MATCH($B347,'Mẫu task'!$A$5:$A$64,0)),""))</f>
        <v/>
      </c>
      <c r="F347" s="23" t="str">
        <f aca="false">IF($B347="","",IFERROR(INDEX('Mẫu task'!$E$5:$E$64,MATCH($B347,'Mẫu task'!$A$5:$A$64,0)),""))</f>
        <v/>
      </c>
      <c r="G347" s="19"/>
      <c r="H347" s="20"/>
      <c r="I347" s="14" t="str">
        <f aca="false">IF($B347="","",IFERROR(INDEX('Mẫu task'!$H$5:$H$64,MATCH($B347,'Mẫu task'!$A$5:$A$64,0)),""))</f>
        <v/>
      </c>
      <c r="J347" s="24" t="str">
        <f aca="false">IF(OR($H347="",$I347=""),"",$H347+$I347)</f>
        <v/>
      </c>
      <c r="K347" s="22"/>
      <c r="L347" s="20"/>
      <c r="M347" s="14" t="str">
        <f aca="true">IF($B347="","",IF($K347="Hoàn thành","Xong",IF($K347="Không áp dụng","—",IF($K347="Bị chặn","Bị chặn",IF($O347=1,"TRỄ "&amp;(TODAY()-$J347)&amp;" ngày",IF(AND($K347="Đang làm",$P347&gt;0),"Bước trước chưa xong",IF(AND($J347&lt;&gt;"",N($J347)-TODAY()&lt;=3),"Sắp đến hạn",IF($K347="Đang làm","Đang làm","Chưa bắt đầu"))))))))</f>
        <v/>
      </c>
      <c r="N347" s="25"/>
      <c r="O347" s="26" t="n">
        <f aca="true">IF(AND($B347&lt;&gt;"",$K347&lt;&gt;"Hoàn thành",$K347&lt;&gt;"Không áp dụng",$J347&lt;&gt;""),IF($J347&lt;TODAY(),1,0),0)</f>
        <v>0</v>
      </c>
      <c r="P347" s="26" t="n">
        <f aca="false">IF(AND($B347&lt;&gt;"",$C347&lt;&gt;"",N($C347)&gt;1),COUNTIFS(Task!$A$5:$A$404,$A347,Task!$C$5:$C$404,N($C347)-1,Task!$K$5:$K$404,"&lt;&gt;Hoàn thành",Task!$K$5:$K$404,"&lt;&gt;Không áp dụng"),0)</f>
        <v>0</v>
      </c>
    </row>
    <row r="348" customFormat="false" ht="15" hidden="false" customHeight="false" outlineLevel="0" collapsed="false">
      <c r="A348" s="19"/>
      <c r="B348" s="22"/>
      <c r="C348" s="14" t="str">
        <f aca="false">IF($B348="","",IFERROR(INDEX('Mẫu task'!$B$5:$B$64,MATCH($B348,'Mẫu task'!$A$5:$A$64,0)),""))</f>
        <v/>
      </c>
      <c r="D348" s="15" t="str">
        <f aca="false">IF($C348="","",IFERROR(INDEX('Quy trình'!$B$5:$B$12,MATCH($C348,'Quy trình'!$A$5:$A$12,0)),""))</f>
        <v/>
      </c>
      <c r="E348" s="23" t="str">
        <f aca="false">IF($B348="","",IFERROR(INDEX('Mẫu task'!$D$5:$D$64,MATCH($B348,'Mẫu task'!$A$5:$A$64,0)),""))</f>
        <v/>
      </c>
      <c r="F348" s="23" t="str">
        <f aca="false">IF($B348="","",IFERROR(INDEX('Mẫu task'!$E$5:$E$64,MATCH($B348,'Mẫu task'!$A$5:$A$64,0)),""))</f>
        <v/>
      </c>
      <c r="G348" s="19"/>
      <c r="H348" s="20"/>
      <c r="I348" s="14" t="str">
        <f aca="false">IF($B348="","",IFERROR(INDEX('Mẫu task'!$H$5:$H$64,MATCH($B348,'Mẫu task'!$A$5:$A$64,0)),""))</f>
        <v/>
      </c>
      <c r="J348" s="24" t="str">
        <f aca="false">IF(OR($H348="",$I348=""),"",$H348+$I348)</f>
        <v/>
      </c>
      <c r="K348" s="22"/>
      <c r="L348" s="20"/>
      <c r="M348" s="14" t="str">
        <f aca="true">IF($B348="","",IF($K348="Hoàn thành","Xong",IF($K348="Không áp dụng","—",IF($K348="Bị chặn","Bị chặn",IF($O348=1,"TRỄ "&amp;(TODAY()-$J348)&amp;" ngày",IF(AND($K348="Đang làm",$P348&gt;0),"Bước trước chưa xong",IF(AND($J348&lt;&gt;"",N($J348)-TODAY()&lt;=3),"Sắp đến hạn",IF($K348="Đang làm","Đang làm","Chưa bắt đầu"))))))))</f>
        <v/>
      </c>
      <c r="N348" s="25"/>
      <c r="O348" s="26" t="n">
        <f aca="true">IF(AND($B348&lt;&gt;"",$K348&lt;&gt;"Hoàn thành",$K348&lt;&gt;"Không áp dụng",$J348&lt;&gt;""),IF($J348&lt;TODAY(),1,0),0)</f>
        <v>0</v>
      </c>
      <c r="P348" s="26" t="n">
        <f aca="false">IF(AND($B348&lt;&gt;"",$C348&lt;&gt;"",N($C348)&gt;1),COUNTIFS(Task!$A$5:$A$404,$A348,Task!$C$5:$C$404,N($C348)-1,Task!$K$5:$K$404,"&lt;&gt;Hoàn thành",Task!$K$5:$K$404,"&lt;&gt;Không áp dụng"),0)</f>
        <v>0</v>
      </c>
    </row>
    <row r="349" customFormat="false" ht="15" hidden="false" customHeight="false" outlineLevel="0" collapsed="false">
      <c r="A349" s="19"/>
      <c r="B349" s="22"/>
      <c r="C349" s="14" t="str">
        <f aca="false">IF($B349="","",IFERROR(INDEX('Mẫu task'!$B$5:$B$64,MATCH($B349,'Mẫu task'!$A$5:$A$64,0)),""))</f>
        <v/>
      </c>
      <c r="D349" s="15" t="str">
        <f aca="false">IF($C349="","",IFERROR(INDEX('Quy trình'!$B$5:$B$12,MATCH($C349,'Quy trình'!$A$5:$A$12,0)),""))</f>
        <v/>
      </c>
      <c r="E349" s="23" t="str">
        <f aca="false">IF($B349="","",IFERROR(INDEX('Mẫu task'!$D$5:$D$64,MATCH($B349,'Mẫu task'!$A$5:$A$64,0)),""))</f>
        <v/>
      </c>
      <c r="F349" s="23" t="str">
        <f aca="false">IF($B349="","",IFERROR(INDEX('Mẫu task'!$E$5:$E$64,MATCH($B349,'Mẫu task'!$A$5:$A$64,0)),""))</f>
        <v/>
      </c>
      <c r="G349" s="19"/>
      <c r="H349" s="20"/>
      <c r="I349" s="14" t="str">
        <f aca="false">IF($B349="","",IFERROR(INDEX('Mẫu task'!$H$5:$H$64,MATCH($B349,'Mẫu task'!$A$5:$A$64,0)),""))</f>
        <v/>
      </c>
      <c r="J349" s="24" t="str">
        <f aca="false">IF(OR($H349="",$I349=""),"",$H349+$I349)</f>
        <v/>
      </c>
      <c r="K349" s="22"/>
      <c r="L349" s="20"/>
      <c r="M349" s="14" t="str">
        <f aca="true">IF($B349="","",IF($K349="Hoàn thành","Xong",IF($K349="Không áp dụng","—",IF($K349="Bị chặn","Bị chặn",IF($O349=1,"TRỄ "&amp;(TODAY()-$J349)&amp;" ngày",IF(AND($K349="Đang làm",$P349&gt;0),"Bước trước chưa xong",IF(AND($J349&lt;&gt;"",N($J349)-TODAY()&lt;=3),"Sắp đến hạn",IF($K349="Đang làm","Đang làm","Chưa bắt đầu"))))))))</f>
        <v/>
      </c>
      <c r="N349" s="25"/>
      <c r="O349" s="26" t="n">
        <f aca="true">IF(AND($B349&lt;&gt;"",$K349&lt;&gt;"Hoàn thành",$K349&lt;&gt;"Không áp dụng",$J349&lt;&gt;""),IF($J349&lt;TODAY(),1,0),0)</f>
        <v>0</v>
      </c>
      <c r="P349" s="26" t="n">
        <f aca="false">IF(AND($B349&lt;&gt;"",$C349&lt;&gt;"",N($C349)&gt;1),COUNTIFS(Task!$A$5:$A$404,$A349,Task!$C$5:$C$404,N($C349)-1,Task!$K$5:$K$404,"&lt;&gt;Hoàn thành",Task!$K$5:$K$404,"&lt;&gt;Không áp dụng"),0)</f>
        <v>0</v>
      </c>
    </row>
    <row r="350" customFormat="false" ht="15" hidden="false" customHeight="false" outlineLevel="0" collapsed="false">
      <c r="A350" s="19"/>
      <c r="B350" s="22"/>
      <c r="C350" s="14" t="str">
        <f aca="false">IF($B350="","",IFERROR(INDEX('Mẫu task'!$B$5:$B$64,MATCH($B350,'Mẫu task'!$A$5:$A$64,0)),""))</f>
        <v/>
      </c>
      <c r="D350" s="15" t="str">
        <f aca="false">IF($C350="","",IFERROR(INDEX('Quy trình'!$B$5:$B$12,MATCH($C350,'Quy trình'!$A$5:$A$12,0)),""))</f>
        <v/>
      </c>
      <c r="E350" s="23" t="str">
        <f aca="false">IF($B350="","",IFERROR(INDEX('Mẫu task'!$D$5:$D$64,MATCH($B350,'Mẫu task'!$A$5:$A$64,0)),""))</f>
        <v/>
      </c>
      <c r="F350" s="23" t="str">
        <f aca="false">IF($B350="","",IFERROR(INDEX('Mẫu task'!$E$5:$E$64,MATCH($B350,'Mẫu task'!$A$5:$A$64,0)),""))</f>
        <v/>
      </c>
      <c r="G350" s="19"/>
      <c r="H350" s="20"/>
      <c r="I350" s="14" t="str">
        <f aca="false">IF($B350="","",IFERROR(INDEX('Mẫu task'!$H$5:$H$64,MATCH($B350,'Mẫu task'!$A$5:$A$64,0)),""))</f>
        <v/>
      </c>
      <c r="J350" s="24" t="str">
        <f aca="false">IF(OR($H350="",$I350=""),"",$H350+$I350)</f>
        <v/>
      </c>
      <c r="K350" s="22"/>
      <c r="L350" s="20"/>
      <c r="M350" s="14" t="str">
        <f aca="true">IF($B350="","",IF($K350="Hoàn thành","Xong",IF($K350="Không áp dụng","—",IF($K350="Bị chặn","Bị chặn",IF($O350=1,"TRỄ "&amp;(TODAY()-$J350)&amp;" ngày",IF(AND($K350="Đang làm",$P350&gt;0),"Bước trước chưa xong",IF(AND($J350&lt;&gt;"",N($J350)-TODAY()&lt;=3),"Sắp đến hạn",IF($K350="Đang làm","Đang làm","Chưa bắt đầu"))))))))</f>
        <v/>
      </c>
      <c r="N350" s="25"/>
      <c r="O350" s="26" t="n">
        <f aca="true">IF(AND($B350&lt;&gt;"",$K350&lt;&gt;"Hoàn thành",$K350&lt;&gt;"Không áp dụng",$J350&lt;&gt;""),IF($J350&lt;TODAY(),1,0),0)</f>
        <v>0</v>
      </c>
      <c r="P350" s="26" t="n">
        <f aca="false">IF(AND($B350&lt;&gt;"",$C350&lt;&gt;"",N($C350)&gt;1),COUNTIFS(Task!$A$5:$A$404,$A350,Task!$C$5:$C$404,N($C350)-1,Task!$K$5:$K$404,"&lt;&gt;Hoàn thành",Task!$K$5:$K$404,"&lt;&gt;Không áp dụng"),0)</f>
        <v>0</v>
      </c>
    </row>
    <row r="351" customFormat="false" ht="15" hidden="false" customHeight="false" outlineLevel="0" collapsed="false">
      <c r="A351" s="19"/>
      <c r="B351" s="22"/>
      <c r="C351" s="14" t="str">
        <f aca="false">IF($B351="","",IFERROR(INDEX('Mẫu task'!$B$5:$B$64,MATCH($B351,'Mẫu task'!$A$5:$A$64,0)),""))</f>
        <v/>
      </c>
      <c r="D351" s="15" t="str">
        <f aca="false">IF($C351="","",IFERROR(INDEX('Quy trình'!$B$5:$B$12,MATCH($C351,'Quy trình'!$A$5:$A$12,0)),""))</f>
        <v/>
      </c>
      <c r="E351" s="23" t="str">
        <f aca="false">IF($B351="","",IFERROR(INDEX('Mẫu task'!$D$5:$D$64,MATCH($B351,'Mẫu task'!$A$5:$A$64,0)),""))</f>
        <v/>
      </c>
      <c r="F351" s="23" t="str">
        <f aca="false">IF($B351="","",IFERROR(INDEX('Mẫu task'!$E$5:$E$64,MATCH($B351,'Mẫu task'!$A$5:$A$64,0)),""))</f>
        <v/>
      </c>
      <c r="G351" s="19"/>
      <c r="H351" s="20"/>
      <c r="I351" s="14" t="str">
        <f aca="false">IF($B351="","",IFERROR(INDEX('Mẫu task'!$H$5:$H$64,MATCH($B351,'Mẫu task'!$A$5:$A$64,0)),""))</f>
        <v/>
      </c>
      <c r="J351" s="24" t="str">
        <f aca="false">IF(OR($H351="",$I351=""),"",$H351+$I351)</f>
        <v/>
      </c>
      <c r="K351" s="22"/>
      <c r="L351" s="20"/>
      <c r="M351" s="14" t="str">
        <f aca="true">IF($B351="","",IF($K351="Hoàn thành","Xong",IF($K351="Không áp dụng","—",IF($K351="Bị chặn","Bị chặn",IF($O351=1,"TRỄ "&amp;(TODAY()-$J351)&amp;" ngày",IF(AND($K351="Đang làm",$P351&gt;0),"Bước trước chưa xong",IF(AND($J351&lt;&gt;"",N($J351)-TODAY()&lt;=3),"Sắp đến hạn",IF($K351="Đang làm","Đang làm","Chưa bắt đầu"))))))))</f>
        <v/>
      </c>
      <c r="N351" s="25"/>
      <c r="O351" s="26" t="n">
        <f aca="true">IF(AND($B351&lt;&gt;"",$K351&lt;&gt;"Hoàn thành",$K351&lt;&gt;"Không áp dụng",$J351&lt;&gt;""),IF($J351&lt;TODAY(),1,0),0)</f>
        <v>0</v>
      </c>
      <c r="P351" s="26" t="n">
        <f aca="false">IF(AND($B351&lt;&gt;"",$C351&lt;&gt;"",N($C351)&gt;1),COUNTIFS(Task!$A$5:$A$404,$A351,Task!$C$5:$C$404,N($C351)-1,Task!$K$5:$K$404,"&lt;&gt;Hoàn thành",Task!$K$5:$K$404,"&lt;&gt;Không áp dụng"),0)</f>
        <v>0</v>
      </c>
    </row>
    <row r="352" customFormat="false" ht="15" hidden="false" customHeight="false" outlineLevel="0" collapsed="false">
      <c r="A352" s="19"/>
      <c r="B352" s="22"/>
      <c r="C352" s="14" t="str">
        <f aca="false">IF($B352="","",IFERROR(INDEX('Mẫu task'!$B$5:$B$64,MATCH($B352,'Mẫu task'!$A$5:$A$64,0)),""))</f>
        <v/>
      </c>
      <c r="D352" s="15" t="str">
        <f aca="false">IF($C352="","",IFERROR(INDEX('Quy trình'!$B$5:$B$12,MATCH($C352,'Quy trình'!$A$5:$A$12,0)),""))</f>
        <v/>
      </c>
      <c r="E352" s="23" t="str">
        <f aca="false">IF($B352="","",IFERROR(INDEX('Mẫu task'!$D$5:$D$64,MATCH($B352,'Mẫu task'!$A$5:$A$64,0)),""))</f>
        <v/>
      </c>
      <c r="F352" s="23" t="str">
        <f aca="false">IF($B352="","",IFERROR(INDEX('Mẫu task'!$E$5:$E$64,MATCH($B352,'Mẫu task'!$A$5:$A$64,0)),""))</f>
        <v/>
      </c>
      <c r="G352" s="19"/>
      <c r="H352" s="20"/>
      <c r="I352" s="14" t="str">
        <f aca="false">IF($B352="","",IFERROR(INDEX('Mẫu task'!$H$5:$H$64,MATCH($B352,'Mẫu task'!$A$5:$A$64,0)),""))</f>
        <v/>
      </c>
      <c r="J352" s="24" t="str">
        <f aca="false">IF(OR($H352="",$I352=""),"",$H352+$I352)</f>
        <v/>
      </c>
      <c r="K352" s="22"/>
      <c r="L352" s="20"/>
      <c r="M352" s="14" t="str">
        <f aca="true">IF($B352="","",IF($K352="Hoàn thành","Xong",IF($K352="Không áp dụng","—",IF($K352="Bị chặn","Bị chặn",IF($O352=1,"TRỄ "&amp;(TODAY()-$J352)&amp;" ngày",IF(AND($K352="Đang làm",$P352&gt;0),"Bước trước chưa xong",IF(AND($J352&lt;&gt;"",N($J352)-TODAY()&lt;=3),"Sắp đến hạn",IF($K352="Đang làm","Đang làm","Chưa bắt đầu"))))))))</f>
        <v/>
      </c>
      <c r="N352" s="25"/>
      <c r="O352" s="26" t="n">
        <f aca="true">IF(AND($B352&lt;&gt;"",$K352&lt;&gt;"Hoàn thành",$K352&lt;&gt;"Không áp dụng",$J352&lt;&gt;""),IF($J352&lt;TODAY(),1,0),0)</f>
        <v>0</v>
      </c>
      <c r="P352" s="26" t="n">
        <f aca="false">IF(AND($B352&lt;&gt;"",$C352&lt;&gt;"",N($C352)&gt;1),COUNTIFS(Task!$A$5:$A$404,$A352,Task!$C$5:$C$404,N($C352)-1,Task!$K$5:$K$404,"&lt;&gt;Hoàn thành",Task!$K$5:$K$404,"&lt;&gt;Không áp dụng"),0)</f>
        <v>0</v>
      </c>
    </row>
    <row r="353" customFormat="false" ht="15" hidden="false" customHeight="false" outlineLevel="0" collapsed="false">
      <c r="A353" s="19"/>
      <c r="B353" s="22"/>
      <c r="C353" s="14" t="str">
        <f aca="false">IF($B353="","",IFERROR(INDEX('Mẫu task'!$B$5:$B$64,MATCH($B353,'Mẫu task'!$A$5:$A$64,0)),""))</f>
        <v/>
      </c>
      <c r="D353" s="15" t="str">
        <f aca="false">IF($C353="","",IFERROR(INDEX('Quy trình'!$B$5:$B$12,MATCH($C353,'Quy trình'!$A$5:$A$12,0)),""))</f>
        <v/>
      </c>
      <c r="E353" s="23" t="str">
        <f aca="false">IF($B353="","",IFERROR(INDEX('Mẫu task'!$D$5:$D$64,MATCH($B353,'Mẫu task'!$A$5:$A$64,0)),""))</f>
        <v/>
      </c>
      <c r="F353" s="23" t="str">
        <f aca="false">IF($B353="","",IFERROR(INDEX('Mẫu task'!$E$5:$E$64,MATCH($B353,'Mẫu task'!$A$5:$A$64,0)),""))</f>
        <v/>
      </c>
      <c r="G353" s="19"/>
      <c r="H353" s="20"/>
      <c r="I353" s="14" t="str">
        <f aca="false">IF($B353="","",IFERROR(INDEX('Mẫu task'!$H$5:$H$64,MATCH($B353,'Mẫu task'!$A$5:$A$64,0)),""))</f>
        <v/>
      </c>
      <c r="J353" s="24" t="str">
        <f aca="false">IF(OR($H353="",$I353=""),"",$H353+$I353)</f>
        <v/>
      </c>
      <c r="K353" s="22"/>
      <c r="L353" s="20"/>
      <c r="M353" s="14" t="str">
        <f aca="true">IF($B353="","",IF($K353="Hoàn thành","Xong",IF($K353="Không áp dụng","—",IF($K353="Bị chặn","Bị chặn",IF($O353=1,"TRỄ "&amp;(TODAY()-$J353)&amp;" ngày",IF(AND($K353="Đang làm",$P353&gt;0),"Bước trước chưa xong",IF(AND($J353&lt;&gt;"",N($J353)-TODAY()&lt;=3),"Sắp đến hạn",IF($K353="Đang làm","Đang làm","Chưa bắt đầu"))))))))</f>
        <v/>
      </c>
      <c r="N353" s="25"/>
      <c r="O353" s="26" t="n">
        <f aca="true">IF(AND($B353&lt;&gt;"",$K353&lt;&gt;"Hoàn thành",$K353&lt;&gt;"Không áp dụng",$J353&lt;&gt;""),IF($J353&lt;TODAY(),1,0),0)</f>
        <v>0</v>
      </c>
      <c r="P353" s="26" t="n">
        <f aca="false">IF(AND($B353&lt;&gt;"",$C353&lt;&gt;"",N($C353)&gt;1),COUNTIFS(Task!$A$5:$A$404,$A353,Task!$C$5:$C$404,N($C353)-1,Task!$K$5:$K$404,"&lt;&gt;Hoàn thành",Task!$K$5:$K$404,"&lt;&gt;Không áp dụng"),0)</f>
        <v>0</v>
      </c>
    </row>
    <row r="354" customFormat="false" ht="15" hidden="false" customHeight="false" outlineLevel="0" collapsed="false">
      <c r="A354" s="19"/>
      <c r="B354" s="22"/>
      <c r="C354" s="14" t="str">
        <f aca="false">IF($B354="","",IFERROR(INDEX('Mẫu task'!$B$5:$B$64,MATCH($B354,'Mẫu task'!$A$5:$A$64,0)),""))</f>
        <v/>
      </c>
      <c r="D354" s="15" t="str">
        <f aca="false">IF($C354="","",IFERROR(INDEX('Quy trình'!$B$5:$B$12,MATCH($C354,'Quy trình'!$A$5:$A$12,0)),""))</f>
        <v/>
      </c>
      <c r="E354" s="23" t="str">
        <f aca="false">IF($B354="","",IFERROR(INDEX('Mẫu task'!$D$5:$D$64,MATCH($B354,'Mẫu task'!$A$5:$A$64,0)),""))</f>
        <v/>
      </c>
      <c r="F354" s="23" t="str">
        <f aca="false">IF($B354="","",IFERROR(INDEX('Mẫu task'!$E$5:$E$64,MATCH($B354,'Mẫu task'!$A$5:$A$64,0)),""))</f>
        <v/>
      </c>
      <c r="G354" s="19"/>
      <c r="H354" s="20"/>
      <c r="I354" s="14" t="str">
        <f aca="false">IF($B354="","",IFERROR(INDEX('Mẫu task'!$H$5:$H$64,MATCH($B354,'Mẫu task'!$A$5:$A$64,0)),""))</f>
        <v/>
      </c>
      <c r="J354" s="24" t="str">
        <f aca="false">IF(OR($H354="",$I354=""),"",$H354+$I354)</f>
        <v/>
      </c>
      <c r="K354" s="22"/>
      <c r="L354" s="20"/>
      <c r="M354" s="14" t="str">
        <f aca="true">IF($B354="","",IF($K354="Hoàn thành","Xong",IF($K354="Không áp dụng","—",IF($K354="Bị chặn","Bị chặn",IF($O354=1,"TRỄ "&amp;(TODAY()-$J354)&amp;" ngày",IF(AND($K354="Đang làm",$P354&gt;0),"Bước trước chưa xong",IF(AND($J354&lt;&gt;"",N($J354)-TODAY()&lt;=3),"Sắp đến hạn",IF($K354="Đang làm","Đang làm","Chưa bắt đầu"))))))))</f>
        <v/>
      </c>
      <c r="N354" s="25"/>
      <c r="O354" s="26" t="n">
        <f aca="true">IF(AND($B354&lt;&gt;"",$K354&lt;&gt;"Hoàn thành",$K354&lt;&gt;"Không áp dụng",$J354&lt;&gt;""),IF($J354&lt;TODAY(),1,0),0)</f>
        <v>0</v>
      </c>
      <c r="P354" s="26" t="n">
        <f aca="false">IF(AND($B354&lt;&gt;"",$C354&lt;&gt;"",N($C354)&gt;1),COUNTIFS(Task!$A$5:$A$404,$A354,Task!$C$5:$C$404,N($C354)-1,Task!$K$5:$K$404,"&lt;&gt;Hoàn thành",Task!$K$5:$K$404,"&lt;&gt;Không áp dụng"),0)</f>
        <v>0</v>
      </c>
    </row>
    <row r="355" customFormat="false" ht="15" hidden="false" customHeight="false" outlineLevel="0" collapsed="false">
      <c r="A355" s="19"/>
      <c r="B355" s="22"/>
      <c r="C355" s="14" t="str">
        <f aca="false">IF($B355="","",IFERROR(INDEX('Mẫu task'!$B$5:$B$64,MATCH($B355,'Mẫu task'!$A$5:$A$64,0)),""))</f>
        <v/>
      </c>
      <c r="D355" s="15" t="str">
        <f aca="false">IF($C355="","",IFERROR(INDEX('Quy trình'!$B$5:$B$12,MATCH($C355,'Quy trình'!$A$5:$A$12,0)),""))</f>
        <v/>
      </c>
      <c r="E355" s="23" t="str">
        <f aca="false">IF($B355="","",IFERROR(INDEX('Mẫu task'!$D$5:$D$64,MATCH($B355,'Mẫu task'!$A$5:$A$64,0)),""))</f>
        <v/>
      </c>
      <c r="F355" s="23" t="str">
        <f aca="false">IF($B355="","",IFERROR(INDEX('Mẫu task'!$E$5:$E$64,MATCH($B355,'Mẫu task'!$A$5:$A$64,0)),""))</f>
        <v/>
      </c>
      <c r="G355" s="19"/>
      <c r="H355" s="20"/>
      <c r="I355" s="14" t="str">
        <f aca="false">IF($B355="","",IFERROR(INDEX('Mẫu task'!$H$5:$H$64,MATCH($B355,'Mẫu task'!$A$5:$A$64,0)),""))</f>
        <v/>
      </c>
      <c r="J355" s="24" t="str">
        <f aca="false">IF(OR($H355="",$I355=""),"",$H355+$I355)</f>
        <v/>
      </c>
      <c r="K355" s="22"/>
      <c r="L355" s="20"/>
      <c r="M355" s="14" t="str">
        <f aca="true">IF($B355="","",IF($K355="Hoàn thành","Xong",IF($K355="Không áp dụng","—",IF($K355="Bị chặn","Bị chặn",IF($O355=1,"TRỄ "&amp;(TODAY()-$J355)&amp;" ngày",IF(AND($K355="Đang làm",$P355&gt;0),"Bước trước chưa xong",IF(AND($J355&lt;&gt;"",N($J355)-TODAY()&lt;=3),"Sắp đến hạn",IF($K355="Đang làm","Đang làm","Chưa bắt đầu"))))))))</f>
        <v/>
      </c>
      <c r="N355" s="25"/>
      <c r="O355" s="26" t="n">
        <f aca="true">IF(AND($B355&lt;&gt;"",$K355&lt;&gt;"Hoàn thành",$K355&lt;&gt;"Không áp dụng",$J355&lt;&gt;""),IF($J355&lt;TODAY(),1,0),0)</f>
        <v>0</v>
      </c>
      <c r="P355" s="26" t="n">
        <f aca="false">IF(AND($B355&lt;&gt;"",$C355&lt;&gt;"",N($C355)&gt;1),COUNTIFS(Task!$A$5:$A$404,$A355,Task!$C$5:$C$404,N($C355)-1,Task!$K$5:$K$404,"&lt;&gt;Hoàn thành",Task!$K$5:$K$404,"&lt;&gt;Không áp dụng"),0)</f>
        <v>0</v>
      </c>
    </row>
    <row r="356" customFormat="false" ht="15" hidden="false" customHeight="false" outlineLevel="0" collapsed="false">
      <c r="A356" s="19"/>
      <c r="B356" s="22"/>
      <c r="C356" s="14" t="str">
        <f aca="false">IF($B356="","",IFERROR(INDEX('Mẫu task'!$B$5:$B$64,MATCH($B356,'Mẫu task'!$A$5:$A$64,0)),""))</f>
        <v/>
      </c>
      <c r="D356" s="15" t="str">
        <f aca="false">IF($C356="","",IFERROR(INDEX('Quy trình'!$B$5:$B$12,MATCH($C356,'Quy trình'!$A$5:$A$12,0)),""))</f>
        <v/>
      </c>
      <c r="E356" s="23" t="str">
        <f aca="false">IF($B356="","",IFERROR(INDEX('Mẫu task'!$D$5:$D$64,MATCH($B356,'Mẫu task'!$A$5:$A$64,0)),""))</f>
        <v/>
      </c>
      <c r="F356" s="23" t="str">
        <f aca="false">IF($B356="","",IFERROR(INDEX('Mẫu task'!$E$5:$E$64,MATCH($B356,'Mẫu task'!$A$5:$A$64,0)),""))</f>
        <v/>
      </c>
      <c r="G356" s="19"/>
      <c r="H356" s="20"/>
      <c r="I356" s="14" t="str">
        <f aca="false">IF($B356="","",IFERROR(INDEX('Mẫu task'!$H$5:$H$64,MATCH($B356,'Mẫu task'!$A$5:$A$64,0)),""))</f>
        <v/>
      </c>
      <c r="J356" s="24" t="str">
        <f aca="false">IF(OR($H356="",$I356=""),"",$H356+$I356)</f>
        <v/>
      </c>
      <c r="K356" s="22"/>
      <c r="L356" s="20"/>
      <c r="M356" s="14" t="str">
        <f aca="true">IF($B356="","",IF($K356="Hoàn thành","Xong",IF($K356="Không áp dụng","—",IF($K356="Bị chặn","Bị chặn",IF($O356=1,"TRỄ "&amp;(TODAY()-$J356)&amp;" ngày",IF(AND($K356="Đang làm",$P356&gt;0),"Bước trước chưa xong",IF(AND($J356&lt;&gt;"",N($J356)-TODAY()&lt;=3),"Sắp đến hạn",IF($K356="Đang làm","Đang làm","Chưa bắt đầu"))))))))</f>
        <v/>
      </c>
      <c r="N356" s="25"/>
      <c r="O356" s="26" t="n">
        <f aca="true">IF(AND($B356&lt;&gt;"",$K356&lt;&gt;"Hoàn thành",$K356&lt;&gt;"Không áp dụng",$J356&lt;&gt;""),IF($J356&lt;TODAY(),1,0),0)</f>
        <v>0</v>
      </c>
      <c r="P356" s="26" t="n">
        <f aca="false">IF(AND($B356&lt;&gt;"",$C356&lt;&gt;"",N($C356)&gt;1),COUNTIFS(Task!$A$5:$A$404,$A356,Task!$C$5:$C$404,N($C356)-1,Task!$K$5:$K$404,"&lt;&gt;Hoàn thành",Task!$K$5:$K$404,"&lt;&gt;Không áp dụng"),0)</f>
        <v>0</v>
      </c>
    </row>
    <row r="357" customFormat="false" ht="15" hidden="false" customHeight="false" outlineLevel="0" collapsed="false">
      <c r="A357" s="19"/>
      <c r="B357" s="22"/>
      <c r="C357" s="14" t="str">
        <f aca="false">IF($B357="","",IFERROR(INDEX('Mẫu task'!$B$5:$B$64,MATCH($B357,'Mẫu task'!$A$5:$A$64,0)),""))</f>
        <v/>
      </c>
      <c r="D357" s="15" t="str">
        <f aca="false">IF($C357="","",IFERROR(INDEX('Quy trình'!$B$5:$B$12,MATCH($C357,'Quy trình'!$A$5:$A$12,0)),""))</f>
        <v/>
      </c>
      <c r="E357" s="23" t="str">
        <f aca="false">IF($B357="","",IFERROR(INDEX('Mẫu task'!$D$5:$D$64,MATCH($B357,'Mẫu task'!$A$5:$A$64,0)),""))</f>
        <v/>
      </c>
      <c r="F357" s="23" t="str">
        <f aca="false">IF($B357="","",IFERROR(INDEX('Mẫu task'!$E$5:$E$64,MATCH($B357,'Mẫu task'!$A$5:$A$64,0)),""))</f>
        <v/>
      </c>
      <c r="G357" s="19"/>
      <c r="H357" s="20"/>
      <c r="I357" s="14" t="str">
        <f aca="false">IF($B357="","",IFERROR(INDEX('Mẫu task'!$H$5:$H$64,MATCH($B357,'Mẫu task'!$A$5:$A$64,0)),""))</f>
        <v/>
      </c>
      <c r="J357" s="24" t="str">
        <f aca="false">IF(OR($H357="",$I357=""),"",$H357+$I357)</f>
        <v/>
      </c>
      <c r="K357" s="22"/>
      <c r="L357" s="20"/>
      <c r="M357" s="14" t="str">
        <f aca="true">IF($B357="","",IF($K357="Hoàn thành","Xong",IF($K357="Không áp dụng","—",IF($K357="Bị chặn","Bị chặn",IF($O357=1,"TRỄ "&amp;(TODAY()-$J357)&amp;" ngày",IF(AND($K357="Đang làm",$P357&gt;0),"Bước trước chưa xong",IF(AND($J357&lt;&gt;"",N($J357)-TODAY()&lt;=3),"Sắp đến hạn",IF($K357="Đang làm","Đang làm","Chưa bắt đầu"))))))))</f>
        <v/>
      </c>
      <c r="N357" s="25"/>
      <c r="O357" s="26" t="n">
        <f aca="true">IF(AND($B357&lt;&gt;"",$K357&lt;&gt;"Hoàn thành",$K357&lt;&gt;"Không áp dụng",$J357&lt;&gt;""),IF($J357&lt;TODAY(),1,0),0)</f>
        <v>0</v>
      </c>
      <c r="P357" s="26" t="n">
        <f aca="false">IF(AND($B357&lt;&gt;"",$C357&lt;&gt;"",N($C357)&gt;1),COUNTIFS(Task!$A$5:$A$404,$A357,Task!$C$5:$C$404,N($C357)-1,Task!$K$5:$K$404,"&lt;&gt;Hoàn thành",Task!$K$5:$K$404,"&lt;&gt;Không áp dụng"),0)</f>
        <v>0</v>
      </c>
    </row>
    <row r="358" customFormat="false" ht="15" hidden="false" customHeight="false" outlineLevel="0" collapsed="false">
      <c r="A358" s="19"/>
      <c r="B358" s="22"/>
      <c r="C358" s="14" t="str">
        <f aca="false">IF($B358="","",IFERROR(INDEX('Mẫu task'!$B$5:$B$64,MATCH($B358,'Mẫu task'!$A$5:$A$64,0)),""))</f>
        <v/>
      </c>
      <c r="D358" s="15" t="str">
        <f aca="false">IF($C358="","",IFERROR(INDEX('Quy trình'!$B$5:$B$12,MATCH($C358,'Quy trình'!$A$5:$A$12,0)),""))</f>
        <v/>
      </c>
      <c r="E358" s="23" t="str">
        <f aca="false">IF($B358="","",IFERROR(INDEX('Mẫu task'!$D$5:$D$64,MATCH($B358,'Mẫu task'!$A$5:$A$64,0)),""))</f>
        <v/>
      </c>
      <c r="F358" s="23" t="str">
        <f aca="false">IF($B358="","",IFERROR(INDEX('Mẫu task'!$E$5:$E$64,MATCH($B358,'Mẫu task'!$A$5:$A$64,0)),""))</f>
        <v/>
      </c>
      <c r="G358" s="19"/>
      <c r="H358" s="20"/>
      <c r="I358" s="14" t="str">
        <f aca="false">IF($B358="","",IFERROR(INDEX('Mẫu task'!$H$5:$H$64,MATCH($B358,'Mẫu task'!$A$5:$A$64,0)),""))</f>
        <v/>
      </c>
      <c r="J358" s="24" t="str">
        <f aca="false">IF(OR($H358="",$I358=""),"",$H358+$I358)</f>
        <v/>
      </c>
      <c r="K358" s="22"/>
      <c r="L358" s="20"/>
      <c r="M358" s="14" t="str">
        <f aca="true">IF($B358="","",IF($K358="Hoàn thành","Xong",IF($K358="Không áp dụng","—",IF($K358="Bị chặn","Bị chặn",IF($O358=1,"TRỄ "&amp;(TODAY()-$J358)&amp;" ngày",IF(AND($K358="Đang làm",$P358&gt;0),"Bước trước chưa xong",IF(AND($J358&lt;&gt;"",N($J358)-TODAY()&lt;=3),"Sắp đến hạn",IF($K358="Đang làm","Đang làm","Chưa bắt đầu"))))))))</f>
        <v/>
      </c>
      <c r="N358" s="25"/>
      <c r="O358" s="26" t="n">
        <f aca="true">IF(AND($B358&lt;&gt;"",$K358&lt;&gt;"Hoàn thành",$K358&lt;&gt;"Không áp dụng",$J358&lt;&gt;""),IF($J358&lt;TODAY(),1,0),0)</f>
        <v>0</v>
      </c>
      <c r="P358" s="26" t="n">
        <f aca="false">IF(AND($B358&lt;&gt;"",$C358&lt;&gt;"",N($C358)&gt;1),COUNTIFS(Task!$A$5:$A$404,$A358,Task!$C$5:$C$404,N($C358)-1,Task!$K$5:$K$404,"&lt;&gt;Hoàn thành",Task!$K$5:$K$404,"&lt;&gt;Không áp dụng"),0)</f>
        <v>0</v>
      </c>
    </row>
    <row r="359" customFormat="false" ht="15" hidden="false" customHeight="false" outlineLevel="0" collapsed="false">
      <c r="A359" s="19"/>
      <c r="B359" s="22"/>
      <c r="C359" s="14" t="str">
        <f aca="false">IF($B359="","",IFERROR(INDEX('Mẫu task'!$B$5:$B$64,MATCH($B359,'Mẫu task'!$A$5:$A$64,0)),""))</f>
        <v/>
      </c>
      <c r="D359" s="15" t="str">
        <f aca="false">IF($C359="","",IFERROR(INDEX('Quy trình'!$B$5:$B$12,MATCH($C359,'Quy trình'!$A$5:$A$12,0)),""))</f>
        <v/>
      </c>
      <c r="E359" s="23" t="str">
        <f aca="false">IF($B359="","",IFERROR(INDEX('Mẫu task'!$D$5:$D$64,MATCH($B359,'Mẫu task'!$A$5:$A$64,0)),""))</f>
        <v/>
      </c>
      <c r="F359" s="23" t="str">
        <f aca="false">IF($B359="","",IFERROR(INDEX('Mẫu task'!$E$5:$E$64,MATCH($B359,'Mẫu task'!$A$5:$A$64,0)),""))</f>
        <v/>
      </c>
      <c r="G359" s="19"/>
      <c r="H359" s="20"/>
      <c r="I359" s="14" t="str">
        <f aca="false">IF($B359="","",IFERROR(INDEX('Mẫu task'!$H$5:$H$64,MATCH($B359,'Mẫu task'!$A$5:$A$64,0)),""))</f>
        <v/>
      </c>
      <c r="J359" s="24" t="str">
        <f aca="false">IF(OR($H359="",$I359=""),"",$H359+$I359)</f>
        <v/>
      </c>
      <c r="K359" s="22"/>
      <c r="L359" s="20"/>
      <c r="M359" s="14" t="str">
        <f aca="true">IF($B359="","",IF($K359="Hoàn thành","Xong",IF($K359="Không áp dụng","—",IF($K359="Bị chặn","Bị chặn",IF($O359=1,"TRỄ "&amp;(TODAY()-$J359)&amp;" ngày",IF(AND($K359="Đang làm",$P359&gt;0),"Bước trước chưa xong",IF(AND($J359&lt;&gt;"",N($J359)-TODAY()&lt;=3),"Sắp đến hạn",IF($K359="Đang làm","Đang làm","Chưa bắt đầu"))))))))</f>
        <v/>
      </c>
      <c r="N359" s="25"/>
      <c r="O359" s="26" t="n">
        <f aca="true">IF(AND($B359&lt;&gt;"",$K359&lt;&gt;"Hoàn thành",$K359&lt;&gt;"Không áp dụng",$J359&lt;&gt;""),IF($J359&lt;TODAY(),1,0),0)</f>
        <v>0</v>
      </c>
      <c r="P359" s="26" t="n">
        <f aca="false">IF(AND($B359&lt;&gt;"",$C359&lt;&gt;"",N($C359)&gt;1),COUNTIFS(Task!$A$5:$A$404,$A359,Task!$C$5:$C$404,N($C359)-1,Task!$K$5:$K$404,"&lt;&gt;Hoàn thành",Task!$K$5:$K$404,"&lt;&gt;Không áp dụng"),0)</f>
        <v>0</v>
      </c>
    </row>
    <row r="360" customFormat="false" ht="15" hidden="false" customHeight="false" outlineLevel="0" collapsed="false">
      <c r="A360" s="19"/>
      <c r="B360" s="22"/>
      <c r="C360" s="14" t="str">
        <f aca="false">IF($B360="","",IFERROR(INDEX('Mẫu task'!$B$5:$B$64,MATCH($B360,'Mẫu task'!$A$5:$A$64,0)),""))</f>
        <v/>
      </c>
      <c r="D360" s="15" t="str">
        <f aca="false">IF($C360="","",IFERROR(INDEX('Quy trình'!$B$5:$B$12,MATCH($C360,'Quy trình'!$A$5:$A$12,0)),""))</f>
        <v/>
      </c>
      <c r="E360" s="23" t="str">
        <f aca="false">IF($B360="","",IFERROR(INDEX('Mẫu task'!$D$5:$D$64,MATCH($B360,'Mẫu task'!$A$5:$A$64,0)),""))</f>
        <v/>
      </c>
      <c r="F360" s="23" t="str">
        <f aca="false">IF($B360="","",IFERROR(INDEX('Mẫu task'!$E$5:$E$64,MATCH($B360,'Mẫu task'!$A$5:$A$64,0)),""))</f>
        <v/>
      </c>
      <c r="G360" s="19"/>
      <c r="H360" s="20"/>
      <c r="I360" s="14" t="str">
        <f aca="false">IF($B360="","",IFERROR(INDEX('Mẫu task'!$H$5:$H$64,MATCH($B360,'Mẫu task'!$A$5:$A$64,0)),""))</f>
        <v/>
      </c>
      <c r="J360" s="24" t="str">
        <f aca="false">IF(OR($H360="",$I360=""),"",$H360+$I360)</f>
        <v/>
      </c>
      <c r="K360" s="22"/>
      <c r="L360" s="20"/>
      <c r="M360" s="14" t="str">
        <f aca="true">IF($B360="","",IF($K360="Hoàn thành","Xong",IF($K360="Không áp dụng","—",IF($K360="Bị chặn","Bị chặn",IF($O360=1,"TRỄ "&amp;(TODAY()-$J360)&amp;" ngày",IF(AND($K360="Đang làm",$P360&gt;0),"Bước trước chưa xong",IF(AND($J360&lt;&gt;"",N($J360)-TODAY()&lt;=3),"Sắp đến hạn",IF($K360="Đang làm","Đang làm","Chưa bắt đầu"))))))))</f>
        <v/>
      </c>
      <c r="N360" s="25"/>
      <c r="O360" s="26" t="n">
        <f aca="true">IF(AND($B360&lt;&gt;"",$K360&lt;&gt;"Hoàn thành",$K360&lt;&gt;"Không áp dụng",$J360&lt;&gt;""),IF($J360&lt;TODAY(),1,0),0)</f>
        <v>0</v>
      </c>
      <c r="P360" s="26" t="n">
        <f aca="false">IF(AND($B360&lt;&gt;"",$C360&lt;&gt;"",N($C360)&gt;1),COUNTIFS(Task!$A$5:$A$404,$A360,Task!$C$5:$C$404,N($C360)-1,Task!$K$5:$K$404,"&lt;&gt;Hoàn thành",Task!$K$5:$K$404,"&lt;&gt;Không áp dụng"),0)</f>
        <v>0</v>
      </c>
    </row>
    <row r="361" customFormat="false" ht="15" hidden="false" customHeight="false" outlineLevel="0" collapsed="false">
      <c r="A361" s="19"/>
      <c r="B361" s="22"/>
      <c r="C361" s="14" t="str">
        <f aca="false">IF($B361="","",IFERROR(INDEX('Mẫu task'!$B$5:$B$64,MATCH($B361,'Mẫu task'!$A$5:$A$64,0)),""))</f>
        <v/>
      </c>
      <c r="D361" s="15" t="str">
        <f aca="false">IF($C361="","",IFERROR(INDEX('Quy trình'!$B$5:$B$12,MATCH($C361,'Quy trình'!$A$5:$A$12,0)),""))</f>
        <v/>
      </c>
      <c r="E361" s="23" t="str">
        <f aca="false">IF($B361="","",IFERROR(INDEX('Mẫu task'!$D$5:$D$64,MATCH($B361,'Mẫu task'!$A$5:$A$64,0)),""))</f>
        <v/>
      </c>
      <c r="F361" s="23" t="str">
        <f aca="false">IF($B361="","",IFERROR(INDEX('Mẫu task'!$E$5:$E$64,MATCH($B361,'Mẫu task'!$A$5:$A$64,0)),""))</f>
        <v/>
      </c>
      <c r="G361" s="19"/>
      <c r="H361" s="20"/>
      <c r="I361" s="14" t="str">
        <f aca="false">IF($B361="","",IFERROR(INDEX('Mẫu task'!$H$5:$H$64,MATCH($B361,'Mẫu task'!$A$5:$A$64,0)),""))</f>
        <v/>
      </c>
      <c r="J361" s="24" t="str">
        <f aca="false">IF(OR($H361="",$I361=""),"",$H361+$I361)</f>
        <v/>
      </c>
      <c r="K361" s="22"/>
      <c r="L361" s="20"/>
      <c r="M361" s="14" t="str">
        <f aca="true">IF($B361="","",IF($K361="Hoàn thành","Xong",IF($K361="Không áp dụng","—",IF($K361="Bị chặn","Bị chặn",IF($O361=1,"TRỄ "&amp;(TODAY()-$J361)&amp;" ngày",IF(AND($K361="Đang làm",$P361&gt;0),"Bước trước chưa xong",IF(AND($J361&lt;&gt;"",N($J361)-TODAY()&lt;=3),"Sắp đến hạn",IF($K361="Đang làm","Đang làm","Chưa bắt đầu"))))))))</f>
        <v/>
      </c>
      <c r="N361" s="25"/>
      <c r="O361" s="26" t="n">
        <f aca="true">IF(AND($B361&lt;&gt;"",$K361&lt;&gt;"Hoàn thành",$K361&lt;&gt;"Không áp dụng",$J361&lt;&gt;""),IF($J361&lt;TODAY(),1,0),0)</f>
        <v>0</v>
      </c>
      <c r="P361" s="26" t="n">
        <f aca="false">IF(AND($B361&lt;&gt;"",$C361&lt;&gt;"",N($C361)&gt;1),COUNTIFS(Task!$A$5:$A$404,$A361,Task!$C$5:$C$404,N($C361)-1,Task!$K$5:$K$404,"&lt;&gt;Hoàn thành",Task!$K$5:$K$404,"&lt;&gt;Không áp dụng"),0)</f>
        <v>0</v>
      </c>
    </row>
    <row r="362" customFormat="false" ht="15" hidden="false" customHeight="false" outlineLevel="0" collapsed="false">
      <c r="A362" s="19"/>
      <c r="B362" s="22"/>
      <c r="C362" s="14" t="str">
        <f aca="false">IF($B362="","",IFERROR(INDEX('Mẫu task'!$B$5:$B$64,MATCH($B362,'Mẫu task'!$A$5:$A$64,0)),""))</f>
        <v/>
      </c>
      <c r="D362" s="15" t="str">
        <f aca="false">IF($C362="","",IFERROR(INDEX('Quy trình'!$B$5:$B$12,MATCH($C362,'Quy trình'!$A$5:$A$12,0)),""))</f>
        <v/>
      </c>
      <c r="E362" s="23" t="str">
        <f aca="false">IF($B362="","",IFERROR(INDEX('Mẫu task'!$D$5:$D$64,MATCH($B362,'Mẫu task'!$A$5:$A$64,0)),""))</f>
        <v/>
      </c>
      <c r="F362" s="23" t="str">
        <f aca="false">IF($B362="","",IFERROR(INDEX('Mẫu task'!$E$5:$E$64,MATCH($B362,'Mẫu task'!$A$5:$A$64,0)),""))</f>
        <v/>
      </c>
      <c r="G362" s="19"/>
      <c r="H362" s="20"/>
      <c r="I362" s="14" t="str">
        <f aca="false">IF($B362="","",IFERROR(INDEX('Mẫu task'!$H$5:$H$64,MATCH($B362,'Mẫu task'!$A$5:$A$64,0)),""))</f>
        <v/>
      </c>
      <c r="J362" s="24" t="str">
        <f aca="false">IF(OR($H362="",$I362=""),"",$H362+$I362)</f>
        <v/>
      </c>
      <c r="K362" s="22"/>
      <c r="L362" s="20"/>
      <c r="M362" s="14" t="str">
        <f aca="true">IF($B362="","",IF($K362="Hoàn thành","Xong",IF($K362="Không áp dụng","—",IF($K362="Bị chặn","Bị chặn",IF($O362=1,"TRỄ "&amp;(TODAY()-$J362)&amp;" ngày",IF(AND($K362="Đang làm",$P362&gt;0),"Bước trước chưa xong",IF(AND($J362&lt;&gt;"",N($J362)-TODAY()&lt;=3),"Sắp đến hạn",IF($K362="Đang làm","Đang làm","Chưa bắt đầu"))))))))</f>
        <v/>
      </c>
      <c r="N362" s="25"/>
      <c r="O362" s="26" t="n">
        <f aca="true">IF(AND($B362&lt;&gt;"",$K362&lt;&gt;"Hoàn thành",$K362&lt;&gt;"Không áp dụng",$J362&lt;&gt;""),IF($J362&lt;TODAY(),1,0),0)</f>
        <v>0</v>
      </c>
      <c r="P362" s="26" t="n">
        <f aca="false">IF(AND($B362&lt;&gt;"",$C362&lt;&gt;"",N($C362)&gt;1),COUNTIFS(Task!$A$5:$A$404,$A362,Task!$C$5:$C$404,N($C362)-1,Task!$K$5:$K$404,"&lt;&gt;Hoàn thành",Task!$K$5:$K$404,"&lt;&gt;Không áp dụng"),0)</f>
        <v>0</v>
      </c>
    </row>
    <row r="363" customFormat="false" ht="15" hidden="false" customHeight="false" outlineLevel="0" collapsed="false">
      <c r="A363" s="19"/>
      <c r="B363" s="22"/>
      <c r="C363" s="14" t="str">
        <f aca="false">IF($B363="","",IFERROR(INDEX('Mẫu task'!$B$5:$B$64,MATCH($B363,'Mẫu task'!$A$5:$A$64,0)),""))</f>
        <v/>
      </c>
      <c r="D363" s="15" t="str">
        <f aca="false">IF($C363="","",IFERROR(INDEX('Quy trình'!$B$5:$B$12,MATCH($C363,'Quy trình'!$A$5:$A$12,0)),""))</f>
        <v/>
      </c>
      <c r="E363" s="23" t="str">
        <f aca="false">IF($B363="","",IFERROR(INDEX('Mẫu task'!$D$5:$D$64,MATCH($B363,'Mẫu task'!$A$5:$A$64,0)),""))</f>
        <v/>
      </c>
      <c r="F363" s="23" t="str">
        <f aca="false">IF($B363="","",IFERROR(INDEX('Mẫu task'!$E$5:$E$64,MATCH($B363,'Mẫu task'!$A$5:$A$64,0)),""))</f>
        <v/>
      </c>
      <c r="G363" s="19"/>
      <c r="H363" s="20"/>
      <c r="I363" s="14" t="str">
        <f aca="false">IF($B363="","",IFERROR(INDEX('Mẫu task'!$H$5:$H$64,MATCH($B363,'Mẫu task'!$A$5:$A$64,0)),""))</f>
        <v/>
      </c>
      <c r="J363" s="24" t="str">
        <f aca="false">IF(OR($H363="",$I363=""),"",$H363+$I363)</f>
        <v/>
      </c>
      <c r="K363" s="22"/>
      <c r="L363" s="20"/>
      <c r="M363" s="14" t="str">
        <f aca="true">IF($B363="","",IF($K363="Hoàn thành","Xong",IF($K363="Không áp dụng","—",IF($K363="Bị chặn","Bị chặn",IF($O363=1,"TRỄ "&amp;(TODAY()-$J363)&amp;" ngày",IF(AND($K363="Đang làm",$P363&gt;0),"Bước trước chưa xong",IF(AND($J363&lt;&gt;"",N($J363)-TODAY()&lt;=3),"Sắp đến hạn",IF($K363="Đang làm","Đang làm","Chưa bắt đầu"))))))))</f>
        <v/>
      </c>
      <c r="N363" s="25"/>
      <c r="O363" s="26" t="n">
        <f aca="true">IF(AND($B363&lt;&gt;"",$K363&lt;&gt;"Hoàn thành",$K363&lt;&gt;"Không áp dụng",$J363&lt;&gt;""),IF($J363&lt;TODAY(),1,0),0)</f>
        <v>0</v>
      </c>
      <c r="P363" s="26" t="n">
        <f aca="false">IF(AND($B363&lt;&gt;"",$C363&lt;&gt;"",N($C363)&gt;1),COUNTIFS(Task!$A$5:$A$404,$A363,Task!$C$5:$C$404,N($C363)-1,Task!$K$5:$K$404,"&lt;&gt;Hoàn thành",Task!$K$5:$K$404,"&lt;&gt;Không áp dụng"),0)</f>
        <v>0</v>
      </c>
    </row>
    <row r="364" customFormat="false" ht="15" hidden="false" customHeight="false" outlineLevel="0" collapsed="false">
      <c r="A364" s="19"/>
      <c r="B364" s="22"/>
      <c r="C364" s="14" t="str">
        <f aca="false">IF($B364="","",IFERROR(INDEX('Mẫu task'!$B$5:$B$64,MATCH($B364,'Mẫu task'!$A$5:$A$64,0)),""))</f>
        <v/>
      </c>
      <c r="D364" s="15" t="str">
        <f aca="false">IF($C364="","",IFERROR(INDEX('Quy trình'!$B$5:$B$12,MATCH($C364,'Quy trình'!$A$5:$A$12,0)),""))</f>
        <v/>
      </c>
      <c r="E364" s="23" t="str">
        <f aca="false">IF($B364="","",IFERROR(INDEX('Mẫu task'!$D$5:$D$64,MATCH($B364,'Mẫu task'!$A$5:$A$64,0)),""))</f>
        <v/>
      </c>
      <c r="F364" s="23" t="str">
        <f aca="false">IF($B364="","",IFERROR(INDEX('Mẫu task'!$E$5:$E$64,MATCH($B364,'Mẫu task'!$A$5:$A$64,0)),""))</f>
        <v/>
      </c>
      <c r="G364" s="19"/>
      <c r="H364" s="20"/>
      <c r="I364" s="14" t="str">
        <f aca="false">IF($B364="","",IFERROR(INDEX('Mẫu task'!$H$5:$H$64,MATCH($B364,'Mẫu task'!$A$5:$A$64,0)),""))</f>
        <v/>
      </c>
      <c r="J364" s="24" t="str">
        <f aca="false">IF(OR($H364="",$I364=""),"",$H364+$I364)</f>
        <v/>
      </c>
      <c r="K364" s="22"/>
      <c r="L364" s="20"/>
      <c r="M364" s="14" t="str">
        <f aca="true">IF($B364="","",IF($K364="Hoàn thành","Xong",IF($K364="Không áp dụng","—",IF($K364="Bị chặn","Bị chặn",IF($O364=1,"TRỄ "&amp;(TODAY()-$J364)&amp;" ngày",IF(AND($K364="Đang làm",$P364&gt;0),"Bước trước chưa xong",IF(AND($J364&lt;&gt;"",N($J364)-TODAY()&lt;=3),"Sắp đến hạn",IF($K364="Đang làm","Đang làm","Chưa bắt đầu"))))))))</f>
        <v/>
      </c>
      <c r="N364" s="25"/>
      <c r="O364" s="26" t="n">
        <f aca="true">IF(AND($B364&lt;&gt;"",$K364&lt;&gt;"Hoàn thành",$K364&lt;&gt;"Không áp dụng",$J364&lt;&gt;""),IF($J364&lt;TODAY(),1,0),0)</f>
        <v>0</v>
      </c>
      <c r="P364" s="26" t="n">
        <f aca="false">IF(AND($B364&lt;&gt;"",$C364&lt;&gt;"",N($C364)&gt;1),COUNTIFS(Task!$A$5:$A$404,$A364,Task!$C$5:$C$404,N($C364)-1,Task!$K$5:$K$404,"&lt;&gt;Hoàn thành",Task!$K$5:$K$404,"&lt;&gt;Không áp dụng"),0)</f>
        <v>0</v>
      </c>
    </row>
    <row r="365" customFormat="false" ht="15" hidden="false" customHeight="false" outlineLevel="0" collapsed="false">
      <c r="A365" s="19"/>
      <c r="B365" s="22"/>
      <c r="C365" s="14" t="str">
        <f aca="false">IF($B365="","",IFERROR(INDEX('Mẫu task'!$B$5:$B$64,MATCH($B365,'Mẫu task'!$A$5:$A$64,0)),""))</f>
        <v/>
      </c>
      <c r="D365" s="15" t="str">
        <f aca="false">IF($C365="","",IFERROR(INDEX('Quy trình'!$B$5:$B$12,MATCH($C365,'Quy trình'!$A$5:$A$12,0)),""))</f>
        <v/>
      </c>
      <c r="E365" s="23" t="str">
        <f aca="false">IF($B365="","",IFERROR(INDEX('Mẫu task'!$D$5:$D$64,MATCH($B365,'Mẫu task'!$A$5:$A$64,0)),""))</f>
        <v/>
      </c>
      <c r="F365" s="23" t="str">
        <f aca="false">IF($B365="","",IFERROR(INDEX('Mẫu task'!$E$5:$E$64,MATCH($B365,'Mẫu task'!$A$5:$A$64,0)),""))</f>
        <v/>
      </c>
      <c r="G365" s="19"/>
      <c r="H365" s="20"/>
      <c r="I365" s="14" t="str">
        <f aca="false">IF($B365="","",IFERROR(INDEX('Mẫu task'!$H$5:$H$64,MATCH($B365,'Mẫu task'!$A$5:$A$64,0)),""))</f>
        <v/>
      </c>
      <c r="J365" s="24" t="str">
        <f aca="false">IF(OR($H365="",$I365=""),"",$H365+$I365)</f>
        <v/>
      </c>
      <c r="K365" s="22"/>
      <c r="L365" s="20"/>
      <c r="M365" s="14" t="str">
        <f aca="true">IF($B365="","",IF($K365="Hoàn thành","Xong",IF($K365="Không áp dụng","—",IF($K365="Bị chặn","Bị chặn",IF($O365=1,"TRỄ "&amp;(TODAY()-$J365)&amp;" ngày",IF(AND($K365="Đang làm",$P365&gt;0),"Bước trước chưa xong",IF(AND($J365&lt;&gt;"",N($J365)-TODAY()&lt;=3),"Sắp đến hạn",IF($K365="Đang làm","Đang làm","Chưa bắt đầu"))))))))</f>
        <v/>
      </c>
      <c r="N365" s="25"/>
      <c r="O365" s="26" t="n">
        <f aca="true">IF(AND($B365&lt;&gt;"",$K365&lt;&gt;"Hoàn thành",$K365&lt;&gt;"Không áp dụng",$J365&lt;&gt;""),IF($J365&lt;TODAY(),1,0),0)</f>
        <v>0</v>
      </c>
      <c r="P365" s="26" t="n">
        <f aca="false">IF(AND($B365&lt;&gt;"",$C365&lt;&gt;"",N($C365)&gt;1),COUNTIFS(Task!$A$5:$A$404,$A365,Task!$C$5:$C$404,N($C365)-1,Task!$K$5:$K$404,"&lt;&gt;Hoàn thành",Task!$K$5:$K$404,"&lt;&gt;Không áp dụng"),0)</f>
        <v>0</v>
      </c>
    </row>
    <row r="366" customFormat="false" ht="15" hidden="false" customHeight="false" outlineLevel="0" collapsed="false">
      <c r="A366" s="19"/>
      <c r="B366" s="22"/>
      <c r="C366" s="14" t="str">
        <f aca="false">IF($B366="","",IFERROR(INDEX('Mẫu task'!$B$5:$B$64,MATCH($B366,'Mẫu task'!$A$5:$A$64,0)),""))</f>
        <v/>
      </c>
      <c r="D366" s="15" t="str">
        <f aca="false">IF($C366="","",IFERROR(INDEX('Quy trình'!$B$5:$B$12,MATCH($C366,'Quy trình'!$A$5:$A$12,0)),""))</f>
        <v/>
      </c>
      <c r="E366" s="23" t="str">
        <f aca="false">IF($B366="","",IFERROR(INDEX('Mẫu task'!$D$5:$D$64,MATCH($B366,'Mẫu task'!$A$5:$A$64,0)),""))</f>
        <v/>
      </c>
      <c r="F366" s="23" t="str">
        <f aca="false">IF($B366="","",IFERROR(INDEX('Mẫu task'!$E$5:$E$64,MATCH($B366,'Mẫu task'!$A$5:$A$64,0)),""))</f>
        <v/>
      </c>
      <c r="G366" s="19"/>
      <c r="H366" s="20"/>
      <c r="I366" s="14" t="str">
        <f aca="false">IF($B366="","",IFERROR(INDEX('Mẫu task'!$H$5:$H$64,MATCH($B366,'Mẫu task'!$A$5:$A$64,0)),""))</f>
        <v/>
      </c>
      <c r="J366" s="24" t="str">
        <f aca="false">IF(OR($H366="",$I366=""),"",$H366+$I366)</f>
        <v/>
      </c>
      <c r="K366" s="22"/>
      <c r="L366" s="20"/>
      <c r="M366" s="14" t="str">
        <f aca="true">IF($B366="","",IF($K366="Hoàn thành","Xong",IF($K366="Không áp dụng","—",IF($K366="Bị chặn","Bị chặn",IF($O366=1,"TRỄ "&amp;(TODAY()-$J366)&amp;" ngày",IF(AND($K366="Đang làm",$P366&gt;0),"Bước trước chưa xong",IF(AND($J366&lt;&gt;"",N($J366)-TODAY()&lt;=3),"Sắp đến hạn",IF($K366="Đang làm","Đang làm","Chưa bắt đầu"))))))))</f>
        <v/>
      </c>
      <c r="N366" s="25"/>
      <c r="O366" s="26" t="n">
        <f aca="true">IF(AND($B366&lt;&gt;"",$K366&lt;&gt;"Hoàn thành",$K366&lt;&gt;"Không áp dụng",$J366&lt;&gt;""),IF($J366&lt;TODAY(),1,0),0)</f>
        <v>0</v>
      </c>
      <c r="P366" s="26" t="n">
        <f aca="false">IF(AND($B366&lt;&gt;"",$C366&lt;&gt;"",N($C366)&gt;1),COUNTIFS(Task!$A$5:$A$404,$A366,Task!$C$5:$C$404,N($C366)-1,Task!$K$5:$K$404,"&lt;&gt;Hoàn thành",Task!$K$5:$K$404,"&lt;&gt;Không áp dụng"),0)</f>
        <v>0</v>
      </c>
    </row>
    <row r="367" customFormat="false" ht="15" hidden="false" customHeight="false" outlineLevel="0" collapsed="false">
      <c r="A367" s="19"/>
      <c r="B367" s="22"/>
      <c r="C367" s="14" t="str">
        <f aca="false">IF($B367="","",IFERROR(INDEX('Mẫu task'!$B$5:$B$64,MATCH($B367,'Mẫu task'!$A$5:$A$64,0)),""))</f>
        <v/>
      </c>
      <c r="D367" s="15" t="str">
        <f aca="false">IF($C367="","",IFERROR(INDEX('Quy trình'!$B$5:$B$12,MATCH($C367,'Quy trình'!$A$5:$A$12,0)),""))</f>
        <v/>
      </c>
      <c r="E367" s="23" t="str">
        <f aca="false">IF($B367="","",IFERROR(INDEX('Mẫu task'!$D$5:$D$64,MATCH($B367,'Mẫu task'!$A$5:$A$64,0)),""))</f>
        <v/>
      </c>
      <c r="F367" s="23" t="str">
        <f aca="false">IF($B367="","",IFERROR(INDEX('Mẫu task'!$E$5:$E$64,MATCH($B367,'Mẫu task'!$A$5:$A$64,0)),""))</f>
        <v/>
      </c>
      <c r="G367" s="19"/>
      <c r="H367" s="20"/>
      <c r="I367" s="14" t="str">
        <f aca="false">IF($B367="","",IFERROR(INDEX('Mẫu task'!$H$5:$H$64,MATCH($B367,'Mẫu task'!$A$5:$A$64,0)),""))</f>
        <v/>
      </c>
      <c r="J367" s="24" t="str">
        <f aca="false">IF(OR($H367="",$I367=""),"",$H367+$I367)</f>
        <v/>
      </c>
      <c r="K367" s="22"/>
      <c r="L367" s="20"/>
      <c r="M367" s="14" t="str">
        <f aca="true">IF($B367="","",IF($K367="Hoàn thành","Xong",IF($K367="Không áp dụng","—",IF($K367="Bị chặn","Bị chặn",IF($O367=1,"TRỄ "&amp;(TODAY()-$J367)&amp;" ngày",IF(AND($K367="Đang làm",$P367&gt;0),"Bước trước chưa xong",IF(AND($J367&lt;&gt;"",N($J367)-TODAY()&lt;=3),"Sắp đến hạn",IF($K367="Đang làm","Đang làm","Chưa bắt đầu"))))))))</f>
        <v/>
      </c>
      <c r="N367" s="25"/>
      <c r="O367" s="26" t="n">
        <f aca="true">IF(AND($B367&lt;&gt;"",$K367&lt;&gt;"Hoàn thành",$K367&lt;&gt;"Không áp dụng",$J367&lt;&gt;""),IF($J367&lt;TODAY(),1,0),0)</f>
        <v>0</v>
      </c>
      <c r="P367" s="26" t="n">
        <f aca="false">IF(AND($B367&lt;&gt;"",$C367&lt;&gt;"",N($C367)&gt;1),COUNTIFS(Task!$A$5:$A$404,$A367,Task!$C$5:$C$404,N($C367)-1,Task!$K$5:$K$404,"&lt;&gt;Hoàn thành",Task!$K$5:$K$404,"&lt;&gt;Không áp dụng"),0)</f>
        <v>0</v>
      </c>
    </row>
    <row r="368" customFormat="false" ht="15" hidden="false" customHeight="false" outlineLevel="0" collapsed="false">
      <c r="A368" s="19"/>
      <c r="B368" s="22"/>
      <c r="C368" s="14" t="str">
        <f aca="false">IF($B368="","",IFERROR(INDEX('Mẫu task'!$B$5:$B$64,MATCH($B368,'Mẫu task'!$A$5:$A$64,0)),""))</f>
        <v/>
      </c>
      <c r="D368" s="15" t="str">
        <f aca="false">IF($C368="","",IFERROR(INDEX('Quy trình'!$B$5:$B$12,MATCH($C368,'Quy trình'!$A$5:$A$12,0)),""))</f>
        <v/>
      </c>
      <c r="E368" s="23" t="str">
        <f aca="false">IF($B368="","",IFERROR(INDEX('Mẫu task'!$D$5:$D$64,MATCH($B368,'Mẫu task'!$A$5:$A$64,0)),""))</f>
        <v/>
      </c>
      <c r="F368" s="23" t="str">
        <f aca="false">IF($B368="","",IFERROR(INDEX('Mẫu task'!$E$5:$E$64,MATCH($B368,'Mẫu task'!$A$5:$A$64,0)),""))</f>
        <v/>
      </c>
      <c r="G368" s="19"/>
      <c r="H368" s="20"/>
      <c r="I368" s="14" t="str">
        <f aca="false">IF($B368="","",IFERROR(INDEX('Mẫu task'!$H$5:$H$64,MATCH($B368,'Mẫu task'!$A$5:$A$64,0)),""))</f>
        <v/>
      </c>
      <c r="J368" s="24" t="str">
        <f aca="false">IF(OR($H368="",$I368=""),"",$H368+$I368)</f>
        <v/>
      </c>
      <c r="K368" s="22"/>
      <c r="L368" s="20"/>
      <c r="M368" s="14" t="str">
        <f aca="true">IF($B368="","",IF($K368="Hoàn thành","Xong",IF($K368="Không áp dụng","—",IF($K368="Bị chặn","Bị chặn",IF($O368=1,"TRỄ "&amp;(TODAY()-$J368)&amp;" ngày",IF(AND($K368="Đang làm",$P368&gt;0),"Bước trước chưa xong",IF(AND($J368&lt;&gt;"",N($J368)-TODAY()&lt;=3),"Sắp đến hạn",IF($K368="Đang làm","Đang làm","Chưa bắt đầu"))))))))</f>
        <v/>
      </c>
      <c r="N368" s="25"/>
      <c r="O368" s="26" t="n">
        <f aca="true">IF(AND($B368&lt;&gt;"",$K368&lt;&gt;"Hoàn thành",$K368&lt;&gt;"Không áp dụng",$J368&lt;&gt;""),IF($J368&lt;TODAY(),1,0),0)</f>
        <v>0</v>
      </c>
      <c r="P368" s="26" t="n">
        <f aca="false">IF(AND($B368&lt;&gt;"",$C368&lt;&gt;"",N($C368)&gt;1),COUNTIFS(Task!$A$5:$A$404,$A368,Task!$C$5:$C$404,N($C368)-1,Task!$K$5:$K$404,"&lt;&gt;Hoàn thành",Task!$K$5:$K$404,"&lt;&gt;Không áp dụng"),0)</f>
        <v>0</v>
      </c>
    </row>
    <row r="369" customFormat="false" ht="15" hidden="false" customHeight="false" outlineLevel="0" collapsed="false">
      <c r="A369" s="19"/>
      <c r="B369" s="22"/>
      <c r="C369" s="14" t="str">
        <f aca="false">IF($B369="","",IFERROR(INDEX('Mẫu task'!$B$5:$B$64,MATCH($B369,'Mẫu task'!$A$5:$A$64,0)),""))</f>
        <v/>
      </c>
      <c r="D369" s="15" t="str">
        <f aca="false">IF($C369="","",IFERROR(INDEX('Quy trình'!$B$5:$B$12,MATCH($C369,'Quy trình'!$A$5:$A$12,0)),""))</f>
        <v/>
      </c>
      <c r="E369" s="23" t="str">
        <f aca="false">IF($B369="","",IFERROR(INDEX('Mẫu task'!$D$5:$D$64,MATCH($B369,'Mẫu task'!$A$5:$A$64,0)),""))</f>
        <v/>
      </c>
      <c r="F369" s="23" t="str">
        <f aca="false">IF($B369="","",IFERROR(INDEX('Mẫu task'!$E$5:$E$64,MATCH($B369,'Mẫu task'!$A$5:$A$64,0)),""))</f>
        <v/>
      </c>
      <c r="G369" s="19"/>
      <c r="H369" s="20"/>
      <c r="I369" s="14" t="str">
        <f aca="false">IF($B369="","",IFERROR(INDEX('Mẫu task'!$H$5:$H$64,MATCH($B369,'Mẫu task'!$A$5:$A$64,0)),""))</f>
        <v/>
      </c>
      <c r="J369" s="24" t="str">
        <f aca="false">IF(OR($H369="",$I369=""),"",$H369+$I369)</f>
        <v/>
      </c>
      <c r="K369" s="22"/>
      <c r="L369" s="20"/>
      <c r="M369" s="14" t="str">
        <f aca="true">IF($B369="","",IF($K369="Hoàn thành","Xong",IF($K369="Không áp dụng","—",IF($K369="Bị chặn","Bị chặn",IF($O369=1,"TRỄ "&amp;(TODAY()-$J369)&amp;" ngày",IF(AND($K369="Đang làm",$P369&gt;0),"Bước trước chưa xong",IF(AND($J369&lt;&gt;"",N($J369)-TODAY()&lt;=3),"Sắp đến hạn",IF($K369="Đang làm","Đang làm","Chưa bắt đầu"))))))))</f>
        <v/>
      </c>
      <c r="N369" s="25"/>
      <c r="O369" s="26" t="n">
        <f aca="true">IF(AND($B369&lt;&gt;"",$K369&lt;&gt;"Hoàn thành",$K369&lt;&gt;"Không áp dụng",$J369&lt;&gt;""),IF($J369&lt;TODAY(),1,0),0)</f>
        <v>0</v>
      </c>
      <c r="P369" s="26" t="n">
        <f aca="false">IF(AND($B369&lt;&gt;"",$C369&lt;&gt;"",N($C369)&gt;1),COUNTIFS(Task!$A$5:$A$404,$A369,Task!$C$5:$C$404,N($C369)-1,Task!$K$5:$K$404,"&lt;&gt;Hoàn thành",Task!$K$5:$K$404,"&lt;&gt;Không áp dụng"),0)</f>
        <v>0</v>
      </c>
    </row>
    <row r="370" customFormat="false" ht="15" hidden="false" customHeight="false" outlineLevel="0" collapsed="false">
      <c r="A370" s="19"/>
      <c r="B370" s="22"/>
      <c r="C370" s="14" t="str">
        <f aca="false">IF($B370="","",IFERROR(INDEX('Mẫu task'!$B$5:$B$64,MATCH($B370,'Mẫu task'!$A$5:$A$64,0)),""))</f>
        <v/>
      </c>
      <c r="D370" s="15" t="str">
        <f aca="false">IF($C370="","",IFERROR(INDEX('Quy trình'!$B$5:$B$12,MATCH($C370,'Quy trình'!$A$5:$A$12,0)),""))</f>
        <v/>
      </c>
      <c r="E370" s="23" t="str">
        <f aca="false">IF($B370="","",IFERROR(INDEX('Mẫu task'!$D$5:$D$64,MATCH($B370,'Mẫu task'!$A$5:$A$64,0)),""))</f>
        <v/>
      </c>
      <c r="F370" s="23" t="str">
        <f aca="false">IF($B370="","",IFERROR(INDEX('Mẫu task'!$E$5:$E$64,MATCH($B370,'Mẫu task'!$A$5:$A$64,0)),""))</f>
        <v/>
      </c>
      <c r="G370" s="19"/>
      <c r="H370" s="20"/>
      <c r="I370" s="14" t="str">
        <f aca="false">IF($B370="","",IFERROR(INDEX('Mẫu task'!$H$5:$H$64,MATCH($B370,'Mẫu task'!$A$5:$A$64,0)),""))</f>
        <v/>
      </c>
      <c r="J370" s="24" t="str">
        <f aca="false">IF(OR($H370="",$I370=""),"",$H370+$I370)</f>
        <v/>
      </c>
      <c r="K370" s="22"/>
      <c r="L370" s="20"/>
      <c r="M370" s="14" t="str">
        <f aca="true">IF($B370="","",IF($K370="Hoàn thành","Xong",IF($K370="Không áp dụng","—",IF($K370="Bị chặn","Bị chặn",IF($O370=1,"TRỄ "&amp;(TODAY()-$J370)&amp;" ngày",IF(AND($K370="Đang làm",$P370&gt;0),"Bước trước chưa xong",IF(AND($J370&lt;&gt;"",N($J370)-TODAY()&lt;=3),"Sắp đến hạn",IF($K370="Đang làm","Đang làm","Chưa bắt đầu"))))))))</f>
        <v/>
      </c>
      <c r="N370" s="25"/>
      <c r="O370" s="26" t="n">
        <f aca="true">IF(AND($B370&lt;&gt;"",$K370&lt;&gt;"Hoàn thành",$K370&lt;&gt;"Không áp dụng",$J370&lt;&gt;""),IF($J370&lt;TODAY(),1,0),0)</f>
        <v>0</v>
      </c>
      <c r="P370" s="26" t="n">
        <f aca="false">IF(AND($B370&lt;&gt;"",$C370&lt;&gt;"",N($C370)&gt;1),COUNTIFS(Task!$A$5:$A$404,$A370,Task!$C$5:$C$404,N($C370)-1,Task!$K$5:$K$404,"&lt;&gt;Hoàn thành",Task!$K$5:$K$404,"&lt;&gt;Không áp dụng"),0)</f>
        <v>0</v>
      </c>
    </row>
    <row r="371" customFormat="false" ht="15" hidden="false" customHeight="false" outlineLevel="0" collapsed="false">
      <c r="A371" s="19"/>
      <c r="B371" s="22"/>
      <c r="C371" s="14" t="str">
        <f aca="false">IF($B371="","",IFERROR(INDEX('Mẫu task'!$B$5:$B$64,MATCH($B371,'Mẫu task'!$A$5:$A$64,0)),""))</f>
        <v/>
      </c>
      <c r="D371" s="15" t="str">
        <f aca="false">IF($C371="","",IFERROR(INDEX('Quy trình'!$B$5:$B$12,MATCH($C371,'Quy trình'!$A$5:$A$12,0)),""))</f>
        <v/>
      </c>
      <c r="E371" s="23" t="str">
        <f aca="false">IF($B371="","",IFERROR(INDEX('Mẫu task'!$D$5:$D$64,MATCH($B371,'Mẫu task'!$A$5:$A$64,0)),""))</f>
        <v/>
      </c>
      <c r="F371" s="23" t="str">
        <f aca="false">IF($B371="","",IFERROR(INDEX('Mẫu task'!$E$5:$E$64,MATCH($B371,'Mẫu task'!$A$5:$A$64,0)),""))</f>
        <v/>
      </c>
      <c r="G371" s="19"/>
      <c r="H371" s="20"/>
      <c r="I371" s="14" t="str">
        <f aca="false">IF($B371="","",IFERROR(INDEX('Mẫu task'!$H$5:$H$64,MATCH($B371,'Mẫu task'!$A$5:$A$64,0)),""))</f>
        <v/>
      </c>
      <c r="J371" s="24" t="str">
        <f aca="false">IF(OR($H371="",$I371=""),"",$H371+$I371)</f>
        <v/>
      </c>
      <c r="K371" s="22"/>
      <c r="L371" s="20"/>
      <c r="M371" s="14" t="str">
        <f aca="true">IF($B371="","",IF($K371="Hoàn thành","Xong",IF($K371="Không áp dụng","—",IF($K371="Bị chặn","Bị chặn",IF($O371=1,"TRỄ "&amp;(TODAY()-$J371)&amp;" ngày",IF(AND($K371="Đang làm",$P371&gt;0),"Bước trước chưa xong",IF(AND($J371&lt;&gt;"",N($J371)-TODAY()&lt;=3),"Sắp đến hạn",IF($K371="Đang làm","Đang làm","Chưa bắt đầu"))))))))</f>
        <v/>
      </c>
      <c r="N371" s="25"/>
      <c r="O371" s="26" t="n">
        <f aca="true">IF(AND($B371&lt;&gt;"",$K371&lt;&gt;"Hoàn thành",$K371&lt;&gt;"Không áp dụng",$J371&lt;&gt;""),IF($J371&lt;TODAY(),1,0),0)</f>
        <v>0</v>
      </c>
      <c r="P371" s="26" t="n">
        <f aca="false">IF(AND($B371&lt;&gt;"",$C371&lt;&gt;"",N($C371)&gt;1),COUNTIFS(Task!$A$5:$A$404,$A371,Task!$C$5:$C$404,N($C371)-1,Task!$K$5:$K$404,"&lt;&gt;Hoàn thành",Task!$K$5:$K$404,"&lt;&gt;Không áp dụng"),0)</f>
        <v>0</v>
      </c>
    </row>
    <row r="372" customFormat="false" ht="15" hidden="false" customHeight="false" outlineLevel="0" collapsed="false">
      <c r="A372" s="19"/>
      <c r="B372" s="22"/>
      <c r="C372" s="14" t="str">
        <f aca="false">IF($B372="","",IFERROR(INDEX('Mẫu task'!$B$5:$B$64,MATCH($B372,'Mẫu task'!$A$5:$A$64,0)),""))</f>
        <v/>
      </c>
      <c r="D372" s="15" t="str">
        <f aca="false">IF($C372="","",IFERROR(INDEX('Quy trình'!$B$5:$B$12,MATCH($C372,'Quy trình'!$A$5:$A$12,0)),""))</f>
        <v/>
      </c>
      <c r="E372" s="23" t="str">
        <f aca="false">IF($B372="","",IFERROR(INDEX('Mẫu task'!$D$5:$D$64,MATCH($B372,'Mẫu task'!$A$5:$A$64,0)),""))</f>
        <v/>
      </c>
      <c r="F372" s="23" t="str">
        <f aca="false">IF($B372="","",IFERROR(INDEX('Mẫu task'!$E$5:$E$64,MATCH($B372,'Mẫu task'!$A$5:$A$64,0)),""))</f>
        <v/>
      </c>
      <c r="G372" s="19"/>
      <c r="H372" s="20"/>
      <c r="I372" s="14" t="str">
        <f aca="false">IF($B372="","",IFERROR(INDEX('Mẫu task'!$H$5:$H$64,MATCH($B372,'Mẫu task'!$A$5:$A$64,0)),""))</f>
        <v/>
      </c>
      <c r="J372" s="24" t="str">
        <f aca="false">IF(OR($H372="",$I372=""),"",$H372+$I372)</f>
        <v/>
      </c>
      <c r="K372" s="22"/>
      <c r="L372" s="20"/>
      <c r="M372" s="14" t="str">
        <f aca="true">IF($B372="","",IF($K372="Hoàn thành","Xong",IF($K372="Không áp dụng","—",IF($K372="Bị chặn","Bị chặn",IF($O372=1,"TRỄ "&amp;(TODAY()-$J372)&amp;" ngày",IF(AND($K372="Đang làm",$P372&gt;0),"Bước trước chưa xong",IF(AND($J372&lt;&gt;"",N($J372)-TODAY()&lt;=3),"Sắp đến hạn",IF($K372="Đang làm","Đang làm","Chưa bắt đầu"))))))))</f>
        <v/>
      </c>
      <c r="N372" s="25"/>
      <c r="O372" s="26" t="n">
        <f aca="true">IF(AND($B372&lt;&gt;"",$K372&lt;&gt;"Hoàn thành",$K372&lt;&gt;"Không áp dụng",$J372&lt;&gt;""),IF($J372&lt;TODAY(),1,0),0)</f>
        <v>0</v>
      </c>
      <c r="P372" s="26" t="n">
        <f aca="false">IF(AND($B372&lt;&gt;"",$C372&lt;&gt;"",N($C372)&gt;1),COUNTIFS(Task!$A$5:$A$404,$A372,Task!$C$5:$C$404,N($C372)-1,Task!$K$5:$K$404,"&lt;&gt;Hoàn thành",Task!$K$5:$K$404,"&lt;&gt;Không áp dụng"),0)</f>
        <v>0</v>
      </c>
    </row>
    <row r="373" customFormat="false" ht="15" hidden="false" customHeight="false" outlineLevel="0" collapsed="false">
      <c r="A373" s="19"/>
      <c r="B373" s="22"/>
      <c r="C373" s="14" t="str">
        <f aca="false">IF($B373="","",IFERROR(INDEX('Mẫu task'!$B$5:$B$64,MATCH($B373,'Mẫu task'!$A$5:$A$64,0)),""))</f>
        <v/>
      </c>
      <c r="D373" s="15" t="str">
        <f aca="false">IF($C373="","",IFERROR(INDEX('Quy trình'!$B$5:$B$12,MATCH($C373,'Quy trình'!$A$5:$A$12,0)),""))</f>
        <v/>
      </c>
      <c r="E373" s="23" t="str">
        <f aca="false">IF($B373="","",IFERROR(INDEX('Mẫu task'!$D$5:$D$64,MATCH($B373,'Mẫu task'!$A$5:$A$64,0)),""))</f>
        <v/>
      </c>
      <c r="F373" s="23" t="str">
        <f aca="false">IF($B373="","",IFERROR(INDEX('Mẫu task'!$E$5:$E$64,MATCH($B373,'Mẫu task'!$A$5:$A$64,0)),""))</f>
        <v/>
      </c>
      <c r="G373" s="19"/>
      <c r="H373" s="20"/>
      <c r="I373" s="14" t="str">
        <f aca="false">IF($B373="","",IFERROR(INDEX('Mẫu task'!$H$5:$H$64,MATCH($B373,'Mẫu task'!$A$5:$A$64,0)),""))</f>
        <v/>
      </c>
      <c r="J373" s="24" t="str">
        <f aca="false">IF(OR($H373="",$I373=""),"",$H373+$I373)</f>
        <v/>
      </c>
      <c r="K373" s="22"/>
      <c r="L373" s="20"/>
      <c r="M373" s="14" t="str">
        <f aca="true">IF($B373="","",IF($K373="Hoàn thành","Xong",IF($K373="Không áp dụng","—",IF($K373="Bị chặn","Bị chặn",IF($O373=1,"TRỄ "&amp;(TODAY()-$J373)&amp;" ngày",IF(AND($K373="Đang làm",$P373&gt;0),"Bước trước chưa xong",IF(AND($J373&lt;&gt;"",N($J373)-TODAY()&lt;=3),"Sắp đến hạn",IF($K373="Đang làm","Đang làm","Chưa bắt đầu"))))))))</f>
        <v/>
      </c>
      <c r="N373" s="25"/>
      <c r="O373" s="26" t="n">
        <f aca="true">IF(AND($B373&lt;&gt;"",$K373&lt;&gt;"Hoàn thành",$K373&lt;&gt;"Không áp dụng",$J373&lt;&gt;""),IF($J373&lt;TODAY(),1,0),0)</f>
        <v>0</v>
      </c>
      <c r="P373" s="26" t="n">
        <f aca="false">IF(AND($B373&lt;&gt;"",$C373&lt;&gt;"",N($C373)&gt;1),COUNTIFS(Task!$A$5:$A$404,$A373,Task!$C$5:$C$404,N($C373)-1,Task!$K$5:$K$404,"&lt;&gt;Hoàn thành",Task!$K$5:$K$404,"&lt;&gt;Không áp dụng"),0)</f>
        <v>0</v>
      </c>
    </row>
    <row r="374" customFormat="false" ht="15" hidden="false" customHeight="false" outlineLevel="0" collapsed="false">
      <c r="A374" s="19"/>
      <c r="B374" s="22"/>
      <c r="C374" s="14" t="str">
        <f aca="false">IF($B374="","",IFERROR(INDEX('Mẫu task'!$B$5:$B$64,MATCH($B374,'Mẫu task'!$A$5:$A$64,0)),""))</f>
        <v/>
      </c>
      <c r="D374" s="15" t="str">
        <f aca="false">IF($C374="","",IFERROR(INDEX('Quy trình'!$B$5:$B$12,MATCH($C374,'Quy trình'!$A$5:$A$12,0)),""))</f>
        <v/>
      </c>
      <c r="E374" s="23" t="str">
        <f aca="false">IF($B374="","",IFERROR(INDEX('Mẫu task'!$D$5:$D$64,MATCH($B374,'Mẫu task'!$A$5:$A$64,0)),""))</f>
        <v/>
      </c>
      <c r="F374" s="23" t="str">
        <f aca="false">IF($B374="","",IFERROR(INDEX('Mẫu task'!$E$5:$E$64,MATCH($B374,'Mẫu task'!$A$5:$A$64,0)),""))</f>
        <v/>
      </c>
      <c r="G374" s="19"/>
      <c r="H374" s="20"/>
      <c r="I374" s="14" t="str">
        <f aca="false">IF($B374="","",IFERROR(INDEX('Mẫu task'!$H$5:$H$64,MATCH($B374,'Mẫu task'!$A$5:$A$64,0)),""))</f>
        <v/>
      </c>
      <c r="J374" s="24" t="str">
        <f aca="false">IF(OR($H374="",$I374=""),"",$H374+$I374)</f>
        <v/>
      </c>
      <c r="K374" s="22"/>
      <c r="L374" s="20"/>
      <c r="M374" s="14" t="str">
        <f aca="true">IF($B374="","",IF($K374="Hoàn thành","Xong",IF($K374="Không áp dụng","—",IF($K374="Bị chặn","Bị chặn",IF($O374=1,"TRỄ "&amp;(TODAY()-$J374)&amp;" ngày",IF(AND($K374="Đang làm",$P374&gt;0),"Bước trước chưa xong",IF(AND($J374&lt;&gt;"",N($J374)-TODAY()&lt;=3),"Sắp đến hạn",IF($K374="Đang làm","Đang làm","Chưa bắt đầu"))))))))</f>
        <v/>
      </c>
      <c r="N374" s="25"/>
      <c r="O374" s="26" t="n">
        <f aca="true">IF(AND($B374&lt;&gt;"",$K374&lt;&gt;"Hoàn thành",$K374&lt;&gt;"Không áp dụng",$J374&lt;&gt;""),IF($J374&lt;TODAY(),1,0),0)</f>
        <v>0</v>
      </c>
      <c r="P374" s="26" t="n">
        <f aca="false">IF(AND($B374&lt;&gt;"",$C374&lt;&gt;"",N($C374)&gt;1),COUNTIFS(Task!$A$5:$A$404,$A374,Task!$C$5:$C$404,N($C374)-1,Task!$K$5:$K$404,"&lt;&gt;Hoàn thành",Task!$K$5:$K$404,"&lt;&gt;Không áp dụng"),0)</f>
        <v>0</v>
      </c>
    </row>
    <row r="375" customFormat="false" ht="15" hidden="false" customHeight="false" outlineLevel="0" collapsed="false">
      <c r="A375" s="19"/>
      <c r="B375" s="22"/>
      <c r="C375" s="14" t="str">
        <f aca="false">IF($B375="","",IFERROR(INDEX('Mẫu task'!$B$5:$B$64,MATCH($B375,'Mẫu task'!$A$5:$A$64,0)),""))</f>
        <v/>
      </c>
      <c r="D375" s="15" t="str">
        <f aca="false">IF($C375="","",IFERROR(INDEX('Quy trình'!$B$5:$B$12,MATCH($C375,'Quy trình'!$A$5:$A$12,0)),""))</f>
        <v/>
      </c>
      <c r="E375" s="23" t="str">
        <f aca="false">IF($B375="","",IFERROR(INDEX('Mẫu task'!$D$5:$D$64,MATCH($B375,'Mẫu task'!$A$5:$A$64,0)),""))</f>
        <v/>
      </c>
      <c r="F375" s="23" t="str">
        <f aca="false">IF($B375="","",IFERROR(INDEX('Mẫu task'!$E$5:$E$64,MATCH($B375,'Mẫu task'!$A$5:$A$64,0)),""))</f>
        <v/>
      </c>
      <c r="G375" s="19"/>
      <c r="H375" s="20"/>
      <c r="I375" s="14" t="str">
        <f aca="false">IF($B375="","",IFERROR(INDEX('Mẫu task'!$H$5:$H$64,MATCH($B375,'Mẫu task'!$A$5:$A$64,0)),""))</f>
        <v/>
      </c>
      <c r="J375" s="24" t="str">
        <f aca="false">IF(OR($H375="",$I375=""),"",$H375+$I375)</f>
        <v/>
      </c>
      <c r="K375" s="22"/>
      <c r="L375" s="20"/>
      <c r="M375" s="14" t="str">
        <f aca="true">IF($B375="","",IF($K375="Hoàn thành","Xong",IF($K375="Không áp dụng","—",IF($K375="Bị chặn","Bị chặn",IF($O375=1,"TRỄ "&amp;(TODAY()-$J375)&amp;" ngày",IF(AND($K375="Đang làm",$P375&gt;0),"Bước trước chưa xong",IF(AND($J375&lt;&gt;"",N($J375)-TODAY()&lt;=3),"Sắp đến hạn",IF($K375="Đang làm","Đang làm","Chưa bắt đầu"))))))))</f>
        <v/>
      </c>
      <c r="N375" s="25"/>
      <c r="O375" s="26" t="n">
        <f aca="true">IF(AND($B375&lt;&gt;"",$K375&lt;&gt;"Hoàn thành",$K375&lt;&gt;"Không áp dụng",$J375&lt;&gt;""),IF($J375&lt;TODAY(),1,0),0)</f>
        <v>0</v>
      </c>
      <c r="P375" s="26" t="n">
        <f aca="false">IF(AND($B375&lt;&gt;"",$C375&lt;&gt;"",N($C375)&gt;1),COUNTIFS(Task!$A$5:$A$404,$A375,Task!$C$5:$C$404,N($C375)-1,Task!$K$5:$K$404,"&lt;&gt;Hoàn thành",Task!$K$5:$K$404,"&lt;&gt;Không áp dụng"),0)</f>
        <v>0</v>
      </c>
    </row>
    <row r="376" customFormat="false" ht="15" hidden="false" customHeight="false" outlineLevel="0" collapsed="false">
      <c r="A376" s="19"/>
      <c r="B376" s="22"/>
      <c r="C376" s="14" t="str">
        <f aca="false">IF($B376="","",IFERROR(INDEX('Mẫu task'!$B$5:$B$64,MATCH($B376,'Mẫu task'!$A$5:$A$64,0)),""))</f>
        <v/>
      </c>
      <c r="D376" s="15" t="str">
        <f aca="false">IF($C376="","",IFERROR(INDEX('Quy trình'!$B$5:$B$12,MATCH($C376,'Quy trình'!$A$5:$A$12,0)),""))</f>
        <v/>
      </c>
      <c r="E376" s="23" t="str">
        <f aca="false">IF($B376="","",IFERROR(INDEX('Mẫu task'!$D$5:$D$64,MATCH($B376,'Mẫu task'!$A$5:$A$64,0)),""))</f>
        <v/>
      </c>
      <c r="F376" s="23" t="str">
        <f aca="false">IF($B376="","",IFERROR(INDEX('Mẫu task'!$E$5:$E$64,MATCH($B376,'Mẫu task'!$A$5:$A$64,0)),""))</f>
        <v/>
      </c>
      <c r="G376" s="19"/>
      <c r="H376" s="20"/>
      <c r="I376" s="14" t="str">
        <f aca="false">IF($B376="","",IFERROR(INDEX('Mẫu task'!$H$5:$H$64,MATCH($B376,'Mẫu task'!$A$5:$A$64,0)),""))</f>
        <v/>
      </c>
      <c r="J376" s="24" t="str">
        <f aca="false">IF(OR($H376="",$I376=""),"",$H376+$I376)</f>
        <v/>
      </c>
      <c r="K376" s="22"/>
      <c r="L376" s="20"/>
      <c r="M376" s="14" t="str">
        <f aca="true">IF($B376="","",IF($K376="Hoàn thành","Xong",IF($K376="Không áp dụng","—",IF($K376="Bị chặn","Bị chặn",IF($O376=1,"TRỄ "&amp;(TODAY()-$J376)&amp;" ngày",IF(AND($K376="Đang làm",$P376&gt;0),"Bước trước chưa xong",IF(AND($J376&lt;&gt;"",N($J376)-TODAY()&lt;=3),"Sắp đến hạn",IF($K376="Đang làm","Đang làm","Chưa bắt đầu"))))))))</f>
        <v/>
      </c>
      <c r="N376" s="25"/>
      <c r="O376" s="26" t="n">
        <f aca="true">IF(AND($B376&lt;&gt;"",$K376&lt;&gt;"Hoàn thành",$K376&lt;&gt;"Không áp dụng",$J376&lt;&gt;""),IF($J376&lt;TODAY(),1,0),0)</f>
        <v>0</v>
      </c>
      <c r="P376" s="26" t="n">
        <f aca="false">IF(AND($B376&lt;&gt;"",$C376&lt;&gt;"",N($C376)&gt;1),COUNTIFS(Task!$A$5:$A$404,$A376,Task!$C$5:$C$404,N($C376)-1,Task!$K$5:$K$404,"&lt;&gt;Hoàn thành",Task!$K$5:$K$404,"&lt;&gt;Không áp dụng"),0)</f>
        <v>0</v>
      </c>
    </row>
    <row r="377" customFormat="false" ht="15" hidden="false" customHeight="false" outlineLevel="0" collapsed="false">
      <c r="A377" s="19"/>
      <c r="B377" s="22"/>
      <c r="C377" s="14" t="str">
        <f aca="false">IF($B377="","",IFERROR(INDEX('Mẫu task'!$B$5:$B$64,MATCH($B377,'Mẫu task'!$A$5:$A$64,0)),""))</f>
        <v/>
      </c>
      <c r="D377" s="15" t="str">
        <f aca="false">IF($C377="","",IFERROR(INDEX('Quy trình'!$B$5:$B$12,MATCH($C377,'Quy trình'!$A$5:$A$12,0)),""))</f>
        <v/>
      </c>
      <c r="E377" s="23" t="str">
        <f aca="false">IF($B377="","",IFERROR(INDEX('Mẫu task'!$D$5:$D$64,MATCH($B377,'Mẫu task'!$A$5:$A$64,0)),""))</f>
        <v/>
      </c>
      <c r="F377" s="23" t="str">
        <f aca="false">IF($B377="","",IFERROR(INDEX('Mẫu task'!$E$5:$E$64,MATCH($B377,'Mẫu task'!$A$5:$A$64,0)),""))</f>
        <v/>
      </c>
      <c r="G377" s="19"/>
      <c r="H377" s="20"/>
      <c r="I377" s="14" t="str">
        <f aca="false">IF($B377="","",IFERROR(INDEX('Mẫu task'!$H$5:$H$64,MATCH($B377,'Mẫu task'!$A$5:$A$64,0)),""))</f>
        <v/>
      </c>
      <c r="J377" s="24" t="str">
        <f aca="false">IF(OR($H377="",$I377=""),"",$H377+$I377)</f>
        <v/>
      </c>
      <c r="K377" s="22"/>
      <c r="L377" s="20"/>
      <c r="M377" s="14" t="str">
        <f aca="true">IF($B377="","",IF($K377="Hoàn thành","Xong",IF($K377="Không áp dụng","—",IF($K377="Bị chặn","Bị chặn",IF($O377=1,"TRỄ "&amp;(TODAY()-$J377)&amp;" ngày",IF(AND($K377="Đang làm",$P377&gt;0),"Bước trước chưa xong",IF(AND($J377&lt;&gt;"",N($J377)-TODAY()&lt;=3),"Sắp đến hạn",IF($K377="Đang làm","Đang làm","Chưa bắt đầu"))))))))</f>
        <v/>
      </c>
      <c r="N377" s="25"/>
      <c r="O377" s="26" t="n">
        <f aca="true">IF(AND($B377&lt;&gt;"",$K377&lt;&gt;"Hoàn thành",$K377&lt;&gt;"Không áp dụng",$J377&lt;&gt;""),IF($J377&lt;TODAY(),1,0),0)</f>
        <v>0</v>
      </c>
      <c r="P377" s="26" t="n">
        <f aca="false">IF(AND($B377&lt;&gt;"",$C377&lt;&gt;"",N($C377)&gt;1),COUNTIFS(Task!$A$5:$A$404,$A377,Task!$C$5:$C$404,N($C377)-1,Task!$K$5:$K$404,"&lt;&gt;Hoàn thành",Task!$K$5:$K$404,"&lt;&gt;Không áp dụng"),0)</f>
        <v>0</v>
      </c>
    </row>
    <row r="378" customFormat="false" ht="15" hidden="false" customHeight="false" outlineLevel="0" collapsed="false">
      <c r="A378" s="19"/>
      <c r="B378" s="22"/>
      <c r="C378" s="14" t="str">
        <f aca="false">IF($B378="","",IFERROR(INDEX('Mẫu task'!$B$5:$B$64,MATCH($B378,'Mẫu task'!$A$5:$A$64,0)),""))</f>
        <v/>
      </c>
      <c r="D378" s="15" t="str">
        <f aca="false">IF($C378="","",IFERROR(INDEX('Quy trình'!$B$5:$B$12,MATCH($C378,'Quy trình'!$A$5:$A$12,0)),""))</f>
        <v/>
      </c>
      <c r="E378" s="23" t="str">
        <f aca="false">IF($B378="","",IFERROR(INDEX('Mẫu task'!$D$5:$D$64,MATCH($B378,'Mẫu task'!$A$5:$A$64,0)),""))</f>
        <v/>
      </c>
      <c r="F378" s="23" t="str">
        <f aca="false">IF($B378="","",IFERROR(INDEX('Mẫu task'!$E$5:$E$64,MATCH($B378,'Mẫu task'!$A$5:$A$64,0)),""))</f>
        <v/>
      </c>
      <c r="G378" s="19"/>
      <c r="H378" s="20"/>
      <c r="I378" s="14" t="str">
        <f aca="false">IF($B378="","",IFERROR(INDEX('Mẫu task'!$H$5:$H$64,MATCH($B378,'Mẫu task'!$A$5:$A$64,0)),""))</f>
        <v/>
      </c>
      <c r="J378" s="24" t="str">
        <f aca="false">IF(OR($H378="",$I378=""),"",$H378+$I378)</f>
        <v/>
      </c>
      <c r="K378" s="22"/>
      <c r="L378" s="20"/>
      <c r="M378" s="14" t="str">
        <f aca="true">IF($B378="","",IF($K378="Hoàn thành","Xong",IF($K378="Không áp dụng","—",IF($K378="Bị chặn","Bị chặn",IF($O378=1,"TRỄ "&amp;(TODAY()-$J378)&amp;" ngày",IF(AND($K378="Đang làm",$P378&gt;0),"Bước trước chưa xong",IF(AND($J378&lt;&gt;"",N($J378)-TODAY()&lt;=3),"Sắp đến hạn",IF($K378="Đang làm","Đang làm","Chưa bắt đầu"))))))))</f>
        <v/>
      </c>
      <c r="N378" s="25"/>
      <c r="O378" s="26" t="n">
        <f aca="true">IF(AND($B378&lt;&gt;"",$K378&lt;&gt;"Hoàn thành",$K378&lt;&gt;"Không áp dụng",$J378&lt;&gt;""),IF($J378&lt;TODAY(),1,0),0)</f>
        <v>0</v>
      </c>
      <c r="P378" s="26" t="n">
        <f aca="false">IF(AND($B378&lt;&gt;"",$C378&lt;&gt;"",N($C378)&gt;1),COUNTIFS(Task!$A$5:$A$404,$A378,Task!$C$5:$C$404,N($C378)-1,Task!$K$5:$K$404,"&lt;&gt;Hoàn thành",Task!$K$5:$K$404,"&lt;&gt;Không áp dụng"),0)</f>
        <v>0</v>
      </c>
    </row>
    <row r="379" customFormat="false" ht="15" hidden="false" customHeight="false" outlineLevel="0" collapsed="false">
      <c r="A379" s="19"/>
      <c r="B379" s="22"/>
      <c r="C379" s="14" t="str">
        <f aca="false">IF($B379="","",IFERROR(INDEX('Mẫu task'!$B$5:$B$64,MATCH($B379,'Mẫu task'!$A$5:$A$64,0)),""))</f>
        <v/>
      </c>
      <c r="D379" s="15" t="str">
        <f aca="false">IF($C379="","",IFERROR(INDEX('Quy trình'!$B$5:$B$12,MATCH($C379,'Quy trình'!$A$5:$A$12,0)),""))</f>
        <v/>
      </c>
      <c r="E379" s="23" t="str">
        <f aca="false">IF($B379="","",IFERROR(INDEX('Mẫu task'!$D$5:$D$64,MATCH($B379,'Mẫu task'!$A$5:$A$64,0)),""))</f>
        <v/>
      </c>
      <c r="F379" s="23" t="str">
        <f aca="false">IF($B379="","",IFERROR(INDEX('Mẫu task'!$E$5:$E$64,MATCH($B379,'Mẫu task'!$A$5:$A$64,0)),""))</f>
        <v/>
      </c>
      <c r="G379" s="19"/>
      <c r="H379" s="20"/>
      <c r="I379" s="14" t="str">
        <f aca="false">IF($B379="","",IFERROR(INDEX('Mẫu task'!$H$5:$H$64,MATCH($B379,'Mẫu task'!$A$5:$A$64,0)),""))</f>
        <v/>
      </c>
      <c r="J379" s="24" t="str">
        <f aca="false">IF(OR($H379="",$I379=""),"",$H379+$I379)</f>
        <v/>
      </c>
      <c r="K379" s="22"/>
      <c r="L379" s="20"/>
      <c r="M379" s="14" t="str">
        <f aca="true">IF($B379="","",IF($K379="Hoàn thành","Xong",IF($K379="Không áp dụng","—",IF($K379="Bị chặn","Bị chặn",IF($O379=1,"TRỄ "&amp;(TODAY()-$J379)&amp;" ngày",IF(AND($K379="Đang làm",$P379&gt;0),"Bước trước chưa xong",IF(AND($J379&lt;&gt;"",N($J379)-TODAY()&lt;=3),"Sắp đến hạn",IF($K379="Đang làm","Đang làm","Chưa bắt đầu"))))))))</f>
        <v/>
      </c>
      <c r="N379" s="25"/>
      <c r="O379" s="26" t="n">
        <f aca="true">IF(AND($B379&lt;&gt;"",$K379&lt;&gt;"Hoàn thành",$K379&lt;&gt;"Không áp dụng",$J379&lt;&gt;""),IF($J379&lt;TODAY(),1,0),0)</f>
        <v>0</v>
      </c>
      <c r="P379" s="26" t="n">
        <f aca="false">IF(AND($B379&lt;&gt;"",$C379&lt;&gt;"",N($C379)&gt;1),COUNTIFS(Task!$A$5:$A$404,$A379,Task!$C$5:$C$404,N($C379)-1,Task!$K$5:$K$404,"&lt;&gt;Hoàn thành",Task!$K$5:$K$404,"&lt;&gt;Không áp dụng"),0)</f>
        <v>0</v>
      </c>
    </row>
    <row r="380" customFormat="false" ht="15" hidden="false" customHeight="false" outlineLevel="0" collapsed="false">
      <c r="A380" s="19"/>
      <c r="B380" s="22"/>
      <c r="C380" s="14" t="str">
        <f aca="false">IF($B380="","",IFERROR(INDEX('Mẫu task'!$B$5:$B$64,MATCH($B380,'Mẫu task'!$A$5:$A$64,0)),""))</f>
        <v/>
      </c>
      <c r="D380" s="15" t="str">
        <f aca="false">IF($C380="","",IFERROR(INDEX('Quy trình'!$B$5:$B$12,MATCH($C380,'Quy trình'!$A$5:$A$12,0)),""))</f>
        <v/>
      </c>
      <c r="E380" s="23" t="str">
        <f aca="false">IF($B380="","",IFERROR(INDEX('Mẫu task'!$D$5:$D$64,MATCH($B380,'Mẫu task'!$A$5:$A$64,0)),""))</f>
        <v/>
      </c>
      <c r="F380" s="23" t="str">
        <f aca="false">IF($B380="","",IFERROR(INDEX('Mẫu task'!$E$5:$E$64,MATCH($B380,'Mẫu task'!$A$5:$A$64,0)),""))</f>
        <v/>
      </c>
      <c r="G380" s="19"/>
      <c r="H380" s="20"/>
      <c r="I380" s="14" t="str">
        <f aca="false">IF($B380="","",IFERROR(INDEX('Mẫu task'!$H$5:$H$64,MATCH($B380,'Mẫu task'!$A$5:$A$64,0)),""))</f>
        <v/>
      </c>
      <c r="J380" s="24" t="str">
        <f aca="false">IF(OR($H380="",$I380=""),"",$H380+$I380)</f>
        <v/>
      </c>
      <c r="K380" s="22"/>
      <c r="L380" s="20"/>
      <c r="M380" s="14" t="str">
        <f aca="true">IF($B380="","",IF($K380="Hoàn thành","Xong",IF($K380="Không áp dụng","—",IF($K380="Bị chặn","Bị chặn",IF($O380=1,"TRỄ "&amp;(TODAY()-$J380)&amp;" ngày",IF(AND($K380="Đang làm",$P380&gt;0),"Bước trước chưa xong",IF(AND($J380&lt;&gt;"",N($J380)-TODAY()&lt;=3),"Sắp đến hạn",IF($K380="Đang làm","Đang làm","Chưa bắt đầu"))))))))</f>
        <v/>
      </c>
      <c r="N380" s="25"/>
      <c r="O380" s="26" t="n">
        <f aca="true">IF(AND($B380&lt;&gt;"",$K380&lt;&gt;"Hoàn thành",$K380&lt;&gt;"Không áp dụng",$J380&lt;&gt;""),IF($J380&lt;TODAY(),1,0),0)</f>
        <v>0</v>
      </c>
      <c r="P380" s="26" t="n">
        <f aca="false">IF(AND($B380&lt;&gt;"",$C380&lt;&gt;"",N($C380)&gt;1),COUNTIFS(Task!$A$5:$A$404,$A380,Task!$C$5:$C$404,N($C380)-1,Task!$K$5:$K$404,"&lt;&gt;Hoàn thành",Task!$K$5:$K$404,"&lt;&gt;Không áp dụng"),0)</f>
        <v>0</v>
      </c>
    </row>
    <row r="381" customFormat="false" ht="15" hidden="false" customHeight="false" outlineLevel="0" collapsed="false">
      <c r="A381" s="19"/>
      <c r="B381" s="22"/>
      <c r="C381" s="14" t="str">
        <f aca="false">IF($B381="","",IFERROR(INDEX('Mẫu task'!$B$5:$B$64,MATCH($B381,'Mẫu task'!$A$5:$A$64,0)),""))</f>
        <v/>
      </c>
      <c r="D381" s="15" t="str">
        <f aca="false">IF($C381="","",IFERROR(INDEX('Quy trình'!$B$5:$B$12,MATCH($C381,'Quy trình'!$A$5:$A$12,0)),""))</f>
        <v/>
      </c>
      <c r="E381" s="23" t="str">
        <f aca="false">IF($B381="","",IFERROR(INDEX('Mẫu task'!$D$5:$D$64,MATCH($B381,'Mẫu task'!$A$5:$A$64,0)),""))</f>
        <v/>
      </c>
      <c r="F381" s="23" t="str">
        <f aca="false">IF($B381="","",IFERROR(INDEX('Mẫu task'!$E$5:$E$64,MATCH($B381,'Mẫu task'!$A$5:$A$64,0)),""))</f>
        <v/>
      </c>
      <c r="G381" s="19"/>
      <c r="H381" s="20"/>
      <c r="I381" s="14" t="str">
        <f aca="false">IF($B381="","",IFERROR(INDEX('Mẫu task'!$H$5:$H$64,MATCH($B381,'Mẫu task'!$A$5:$A$64,0)),""))</f>
        <v/>
      </c>
      <c r="J381" s="24" t="str">
        <f aca="false">IF(OR($H381="",$I381=""),"",$H381+$I381)</f>
        <v/>
      </c>
      <c r="K381" s="22"/>
      <c r="L381" s="20"/>
      <c r="M381" s="14" t="str">
        <f aca="true">IF($B381="","",IF($K381="Hoàn thành","Xong",IF($K381="Không áp dụng","—",IF($K381="Bị chặn","Bị chặn",IF($O381=1,"TRỄ "&amp;(TODAY()-$J381)&amp;" ngày",IF(AND($K381="Đang làm",$P381&gt;0),"Bước trước chưa xong",IF(AND($J381&lt;&gt;"",N($J381)-TODAY()&lt;=3),"Sắp đến hạn",IF($K381="Đang làm","Đang làm","Chưa bắt đầu"))))))))</f>
        <v/>
      </c>
      <c r="N381" s="25"/>
      <c r="O381" s="26" t="n">
        <f aca="true">IF(AND($B381&lt;&gt;"",$K381&lt;&gt;"Hoàn thành",$K381&lt;&gt;"Không áp dụng",$J381&lt;&gt;""),IF($J381&lt;TODAY(),1,0),0)</f>
        <v>0</v>
      </c>
      <c r="P381" s="26" t="n">
        <f aca="false">IF(AND($B381&lt;&gt;"",$C381&lt;&gt;"",N($C381)&gt;1),COUNTIFS(Task!$A$5:$A$404,$A381,Task!$C$5:$C$404,N($C381)-1,Task!$K$5:$K$404,"&lt;&gt;Hoàn thành",Task!$K$5:$K$404,"&lt;&gt;Không áp dụng"),0)</f>
        <v>0</v>
      </c>
    </row>
    <row r="382" customFormat="false" ht="15" hidden="false" customHeight="false" outlineLevel="0" collapsed="false">
      <c r="A382" s="19"/>
      <c r="B382" s="22"/>
      <c r="C382" s="14" t="str">
        <f aca="false">IF($B382="","",IFERROR(INDEX('Mẫu task'!$B$5:$B$64,MATCH($B382,'Mẫu task'!$A$5:$A$64,0)),""))</f>
        <v/>
      </c>
      <c r="D382" s="15" t="str">
        <f aca="false">IF($C382="","",IFERROR(INDEX('Quy trình'!$B$5:$B$12,MATCH($C382,'Quy trình'!$A$5:$A$12,0)),""))</f>
        <v/>
      </c>
      <c r="E382" s="23" t="str">
        <f aca="false">IF($B382="","",IFERROR(INDEX('Mẫu task'!$D$5:$D$64,MATCH($B382,'Mẫu task'!$A$5:$A$64,0)),""))</f>
        <v/>
      </c>
      <c r="F382" s="23" t="str">
        <f aca="false">IF($B382="","",IFERROR(INDEX('Mẫu task'!$E$5:$E$64,MATCH($B382,'Mẫu task'!$A$5:$A$64,0)),""))</f>
        <v/>
      </c>
      <c r="G382" s="19"/>
      <c r="H382" s="20"/>
      <c r="I382" s="14" t="str">
        <f aca="false">IF($B382="","",IFERROR(INDEX('Mẫu task'!$H$5:$H$64,MATCH($B382,'Mẫu task'!$A$5:$A$64,0)),""))</f>
        <v/>
      </c>
      <c r="J382" s="24" t="str">
        <f aca="false">IF(OR($H382="",$I382=""),"",$H382+$I382)</f>
        <v/>
      </c>
      <c r="K382" s="22"/>
      <c r="L382" s="20"/>
      <c r="M382" s="14" t="str">
        <f aca="true">IF($B382="","",IF($K382="Hoàn thành","Xong",IF($K382="Không áp dụng","—",IF($K382="Bị chặn","Bị chặn",IF($O382=1,"TRỄ "&amp;(TODAY()-$J382)&amp;" ngày",IF(AND($K382="Đang làm",$P382&gt;0),"Bước trước chưa xong",IF(AND($J382&lt;&gt;"",N($J382)-TODAY()&lt;=3),"Sắp đến hạn",IF($K382="Đang làm","Đang làm","Chưa bắt đầu"))))))))</f>
        <v/>
      </c>
      <c r="N382" s="25"/>
      <c r="O382" s="26" t="n">
        <f aca="true">IF(AND($B382&lt;&gt;"",$K382&lt;&gt;"Hoàn thành",$K382&lt;&gt;"Không áp dụng",$J382&lt;&gt;""),IF($J382&lt;TODAY(),1,0),0)</f>
        <v>0</v>
      </c>
      <c r="P382" s="26" t="n">
        <f aca="false">IF(AND($B382&lt;&gt;"",$C382&lt;&gt;"",N($C382)&gt;1),COUNTIFS(Task!$A$5:$A$404,$A382,Task!$C$5:$C$404,N($C382)-1,Task!$K$5:$K$404,"&lt;&gt;Hoàn thành",Task!$K$5:$K$404,"&lt;&gt;Không áp dụng"),0)</f>
        <v>0</v>
      </c>
    </row>
    <row r="383" customFormat="false" ht="15" hidden="false" customHeight="false" outlineLevel="0" collapsed="false">
      <c r="A383" s="19"/>
      <c r="B383" s="22"/>
      <c r="C383" s="14" t="str">
        <f aca="false">IF($B383="","",IFERROR(INDEX('Mẫu task'!$B$5:$B$64,MATCH($B383,'Mẫu task'!$A$5:$A$64,0)),""))</f>
        <v/>
      </c>
      <c r="D383" s="15" t="str">
        <f aca="false">IF($C383="","",IFERROR(INDEX('Quy trình'!$B$5:$B$12,MATCH($C383,'Quy trình'!$A$5:$A$12,0)),""))</f>
        <v/>
      </c>
      <c r="E383" s="23" t="str">
        <f aca="false">IF($B383="","",IFERROR(INDEX('Mẫu task'!$D$5:$D$64,MATCH($B383,'Mẫu task'!$A$5:$A$64,0)),""))</f>
        <v/>
      </c>
      <c r="F383" s="23" t="str">
        <f aca="false">IF($B383="","",IFERROR(INDEX('Mẫu task'!$E$5:$E$64,MATCH($B383,'Mẫu task'!$A$5:$A$64,0)),""))</f>
        <v/>
      </c>
      <c r="G383" s="19"/>
      <c r="H383" s="20"/>
      <c r="I383" s="14" t="str">
        <f aca="false">IF($B383="","",IFERROR(INDEX('Mẫu task'!$H$5:$H$64,MATCH($B383,'Mẫu task'!$A$5:$A$64,0)),""))</f>
        <v/>
      </c>
      <c r="J383" s="24" t="str">
        <f aca="false">IF(OR($H383="",$I383=""),"",$H383+$I383)</f>
        <v/>
      </c>
      <c r="K383" s="22"/>
      <c r="L383" s="20"/>
      <c r="M383" s="14" t="str">
        <f aca="true">IF($B383="","",IF($K383="Hoàn thành","Xong",IF($K383="Không áp dụng","—",IF($K383="Bị chặn","Bị chặn",IF($O383=1,"TRỄ "&amp;(TODAY()-$J383)&amp;" ngày",IF(AND($K383="Đang làm",$P383&gt;0),"Bước trước chưa xong",IF(AND($J383&lt;&gt;"",N($J383)-TODAY()&lt;=3),"Sắp đến hạn",IF($K383="Đang làm","Đang làm","Chưa bắt đầu"))))))))</f>
        <v/>
      </c>
      <c r="N383" s="25"/>
      <c r="O383" s="26" t="n">
        <f aca="true">IF(AND($B383&lt;&gt;"",$K383&lt;&gt;"Hoàn thành",$K383&lt;&gt;"Không áp dụng",$J383&lt;&gt;""),IF($J383&lt;TODAY(),1,0),0)</f>
        <v>0</v>
      </c>
      <c r="P383" s="26" t="n">
        <f aca="false">IF(AND($B383&lt;&gt;"",$C383&lt;&gt;"",N($C383)&gt;1),COUNTIFS(Task!$A$5:$A$404,$A383,Task!$C$5:$C$404,N($C383)-1,Task!$K$5:$K$404,"&lt;&gt;Hoàn thành",Task!$K$5:$K$404,"&lt;&gt;Không áp dụng"),0)</f>
        <v>0</v>
      </c>
    </row>
    <row r="384" customFormat="false" ht="15" hidden="false" customHeight="false" outlineLevel="0" collapsed="false">
      <c r="A384" s="19"/>
      <c r="B384" s="22"/>
      <c r="C384" s="14" t="str">
        <f aca="false">IF($B384="","",IFERROR(INDEX('Mẫu task'!$B$5:$B$64,MATCH($B384,'Mẫu task'!$A$5:$A$64,0)),""))</f>
        <v/>
      </c>
      <c r="D384" s="15" t="str">
        <f aca="false">IF($C384="","",IFERROR(INDEX('Quy trình'!$B$5:$B$12,MATCH($C384,'Quy trình'!$A$5:$A$12,0)),""))</f>
        <v/>
      </c>
      <c r="E384" s="23" t="str">
        <f aca="false">IF($B384="","",IFERROR(INDEX('Mẫu task'!$D$5:$D$64,MATCH($B384,'Mẫu task'!$A$5:$A$64,0)),""))</f>
        <v/>
      </c>
      <c r="F384" s="23" t="str">
        <f aca="false">IF($B384="","",IFERROR(INDEX('Mẫu task'!$E$5:$E$64,MATCH($B384,'Mẫu task'!$A$5:$A$64,0)),""))</f>
        <v/>
      </c>
      <c r="G384" s="19"/>
      <c r="H384" s="20"/>
      <c r="I384" s="14" t="str">
        <f aca="false">IF($B384="","",IFERROR(INDEX('Mẫu task'!$H$5:$H$64,MATCH($B384,'Mẫu task'!$A$5:$A$64,0)),""))</f>
        <v/>
      </c>
      <c r="J384" s="24" t="str">
        <f aca="false">IF(OR($H384="",$I384=""),"",$H384+$I384)</f>
        <v/>
      </c>
      <c r="K384" s="22"/>
      <c r="L384" s="20"/>
      <c r="M384" s="14" t="str">
        <f aca="true">IF($B384="","",IF($K384="Hoàn thành","Xong",IF($K384="Không áp dụng","—",IF($K384="Bị chặn","Bị chặn",IF($O384=1,"TRỄ "&amp;(TODAY()-$J384)&amp;" ngày",IF(AND($K384="Đang làm",$P384&gt;0),"Bước trước chưa xong",IF(AND($J384&lt;&gt;"",N($J384)-TODAY()&lt;=3),"Sắp đến hạn",IF($K384="Đang làm","Đang làm","Chưa bắt đầu"))))))))</f>
        <v/>
      </c>
      <c r="N384" s="25"/>
      <c r="O384" s="26" t="n">
        <f aca="true">IF(AND($B384&lt;&gt;"",$K384&lt;&gt;"Hoàn thành",$K384&lt;&gt;"Không áp dụng",$J384&lt;&gt;""),IF($J384&lt;TODAY(),1,0),0)</f>
        <v>0</v>
      </c>
      <c r="P384" s="26" t="n">
        <f aca="false">IF(AND($B384&lt;&gt;"",$C384&lt;&gt;"",N($C384)&gt;1),COUNTIFS(Task!$A$5:$A$404,$A384,Task!$C$5:$C$404,N($C384)-1,Task!$K$5:$K$404,"&lt;&gt;Hoàn thành",Task!$K$5:$K$404,"&lt;&gt;Không áp dụng"),0)</f>
        <v>0</v>
      </c>
    </row>
    <row r="385" customFormat="false" ht="15" hidden="false" customHeight="false" outlineLevel="0" collapsed="false">
      <c r="A385" s="19"/>
      <c r="B385" s="22"/>
      <c r="C385" s="14" t="str">
        <f aca="false">IF($B385="","",IFERROR(INDEX('Mẫu task'!$B$5:$B$64,MATCH($B385,'Mẫu task'!$A$5:$A$64,0)),""))</f>
        <v/>
      </c>
      <c r="D385" s="15" t="str">
        <f aca="false">IF($C385="","",IFERROR(INDEX('Quy trình'!$B$5:$B$12,MATCH($C385,'Quy trình'!$A$5:$A$12,0)),""))</f>
        <v/>
      </c>
      <c r="E385" s="23" t="str">
        <f aca="false">IF($B385="","",IFERROR(INDEX('Mẫu task'!$D$5:$D$64,MATCH($B385,'Mẫu task'!$A$5:$A$64,0)),""))</f>
        <v/>
      </c>
      <c r="F385" s="23" t="str">
        <f aca="false">IF($B385="","",IFERROR(INDEX('Mẫu task'!$E$5:$E$64,MATCH($B385,'Mẫu task'!$A$5:$A$64,0)),""))</f>
        <v/>
      </c>
      <c r="G385" s="19"/>
      <c r="H385" s="20"/>
      <c r="I385" s="14" t="str">
        <f aca="false">IF($B385="","",IFERROR(INDEX('Mẫu task'!$H$5:$H$64,MATCH($B385,'Mẫu task'!$A$5:$A$64,0)),""))</f>
        <v/>
      </c>
      <c r="J385" s="24" t="str">
        <f aca="false">IF(OR($H385="",$I385=""),"",$H385+$I385)</f>
        <v/>
      </c>
      <c r="K385" s="22"/>
      <c r="L385" s="20"/>
      <c r="M385" s="14" t="str">
        <f aca="true">IF($B385="","",IF($K385="Hoàn thành","Xong",IF($K385="Không áp dụng","—",IF($K385="Bị chặn","Bị chặn",IF($O385=1,"TRỄ "&amp;(TODAY()-$J385)&amp;" ngày",IF(AND($K385="Đang làm",$P385&gt;0),"Bước trước chưa xong",IF(AND($J385&lt;&gt;"",N($J385)-TODAY()&lt;=3),"Sắp đến hạn",IF($K385="Đang làm","Đang làm","Chưa bắt đầu"))))))))</f>
        <v/>
      </c>
      <c r="N385" s="25"/>
      <c r="O385" s="26" t="n">
        <f aca="true">IF(AND($B385&lt;&gt;"",$K385&lt;&gt;"Hoàn thành",$K385&lt;&gt;"Không áp dụng",$J385&lt;&gt;""),IF($J385&lt;TODAY(),1,0),0)</f>
        <v>0</v>
      </c>
      <c r="P385" s="26" t="n">
        <f aca="false">IF(AND($B385&lt;&gt;"",$C385&lt;&gt;"",N($C385)&gt;1),COUNTIFS(Task!$A$5:$A$404,$A385,Task!$C$5:$C$404,N($C385)-1,Task!$K$5:$K$404,"&lt;&gt;Hoàn thành",Task!$K$5:$K$404,"&lt;&gt;Không áp dụng"),0)</f>
        <v>0</v>
      </c>
    </row>
    <row r="386" customFormat="false" ht="15" hidden="false" customHeight="false" outlineLevel="0" collapsed="false">
      <c r="A386" s="19"/>
      <c r="B386" s="22"/>
      <c r="C386" s="14" t="str">
        <f aca="false">IF($B386="","",IFERROR(INDEX('Mẫu task'!$B$5:$B$64,MATCH($B386,'Mẫu task'!$A$5:$A$64,0)),""))</f>
        <v/>
      </c>
      <c r="D386" s="15" t="str">
        <f aca="false">IF($C386="","",IFERROR(INDEX('Quy trình'!$B$5:$B$12,MATCH($C386,'Quy trình'!$A$5:$A$12,0)),""))</f>
        <v/>
      </c>
      <c r="E386" s="23" t="str">
        <f aca="false">IF($B386="","",IFERROR(INDEX('Mẫu task'!$D$5:$D$64,MATCH($B386,'Mẫu task'!$A$5:$A$64,0)),""))</f>
        <v/>
      </c>
      <c r="F386" s="23" t="str">
        <f aca="false">IF($B386="","",IFERROR(INDEX('Mẫu task'!$E$5:$E$64,MATCH($B386,'Mẫu task'!$A$5:$A$64,0)),""))</f>
        <v/>
      </c>
      <c r="G386" s="19"/>
      <c r="H386" s="20"/>
      <c r="I386" s="14" t="str">
        <f aca="false">IF($B386="","",IFERROR(INDEX('Mẫu task'!$H$5:$H$64,MATCH($B386,'Mẫu task'!$A$5:$A$64,0)),""))</f>
        <v/>
      </c>
      <c r="J386" s="24" t="str">
        <f aca="false">IF(OR($H386="",$I386=""),"",$H386+$I386)</f>
        <v/>
      </c>
      <c r="K386" s="22"/>
      <c r="L386" s="20"/>
      <c r="M386" s="14" t="str">
        <f aca="true">IF($B386="","",IF($K386="Hoàn thành","Xong",IF($K386="Không áp dụng","—",IF($K386="Bị chặn","Bị chặn",IF($O386=1,"TRỄ "&amp;(TODAY()-$J386)&amp;" ngày",IF(AND($K386="Đang làm",$P386&gt;0),"Bước trước chưa xong",IF(AND($J386&lt;&gt;"",N($J386)-TODAY()&lt;=3),"Sắp đến hạn",IF($K386="Đang làm","Đang làm","Chưa bắt đầu"))))))))</f>
        <v/>
      </c>
      <c r="N386" s="25"/>
      <c r="O386" s="26" t="n">
        <f aca="true">IF(AND($B386&lt;&gt;"",$K386&lt;&gt;"Hoàn thành",$K386&lt;&gt;"Không áp dụng",$J386&lt;&gt;""),IF($J386&lt;TODAY(),1,0),0)</f>
        <v>0</v>
      </c>
      <c r="P386" s="26" t="n">
        <f aca="false">IF(AND($B386&lt;&gt;"",$C386&lt;&gt;"",N($C386)&gt;1),COUNTIFS(Task!$A$5:$A$404,$A386,Task!$C$5:$C$404,N($C386)-1,Task!$K$5:$K$404,"&lt;&gt;Hoàn thành",Task!$K$5:$K$404,"&lt;&gt;Không áp dụng"),0)</f>
        <v>0</v>
      </c>
    </row>
    <row r="387" customFormat="false" ht="15" hidden="false" customHeight="false" outlineLevel="0" collapsed="false">
      <c r="A387" s="19"/>
      <c r="B387" s="22"/>
      <c r="C387" s="14" t="str">
        <f aca="false">IF($B387="","",IFERROR(INDEX('Mẫu task'!$B$5:$B$64,MATCH($B387,'Mẫu task'!$A$5:$A$64,0)),""))</f>
        <v/>
      </c>
      <c r="D387" s="15" t="str">
        <f aca="false">IF($C387="","",IFERROR(INDEX('Quy trình'!$B$5:$B$12,MATCH($C387,'Quy trình'!$A$5:$A$12,0)),""))</f>
        <v/>
      </c>
      <c r="E387" s="23" t="str">
        <f aca="false">IF($B387="","",IFERROR(INDEX('Mẫu task'!$D$5:$D$64,MATCH($B387,'Mẫu task'!$A$5:$A$64,0)),""))</f>
        <v/>
      </c>
      <c r="F387" s="23" t="str">
        <f aca="false">IF($B387="","",IFERROR(INDEX('Mẫu task'!$E$5:$E$64,MATCH($B387,'Mẫu task'!$A$5:$A$64,0)),""))</f>
        <v/>
      </c>
      <c r="G387" s="19"/>
      <c r="H387" s="20"/>
      <c r="I387" s="14" t="str">
        <f aca="false">IF($B387="","",IFERROR(INDEX('Mẫu task'!$H$5:$H$64,MATCH($B387,'Mẫu task'!$A$5:$A$64,0)),""))</f>
        <v/>
      </c>
      <c r="J387" s="24" t="str">
        <f aca="false">IF(OR($H387="",$I387=""),"",$H387+$I387)</f>
        <v/>
      </c>
      <c r="K387" s="22"/>
      <c r="L387" s="20"/>
      <c r="M387" s="14" t="str">
        <f aca="true">IF($B387="","",IF($K387="Hoàn thành","Xong",IF($K387="Không áp dụng","—",IF($K387="Bị chặn","Bị chặn",IF($O387=1,"TRỄ "&amp;(TODAY()-$J387)&amp;" ngày",IF(AND($K387="Đang làm",$P387&gt;0),"Bước trước chưa xong",IF(AND($J387&lt;&gt;"",N($J387)-TODAY()&lt;=3),"Sắp đến hạn",IF($K387="Đang làm","Đang làm","Chưa bắt đầu"))))))))</f>
        <v/>
      </c>
      <c r="N387" s="25"/>
      <c r="O387" s="26" t="n">
        <f aca="true">IF(AND($B387&lt;&gt;"",$K387&lt;&gt;"Hoàn thành",$K387&lt;&gt;"Không áp dụng",$J387&lt;&gt;""),IF($J387&lt;TODAY(),1,0),0)</f>
        <v>0</v>
      </c>
      <c r="P387" s="26" t="n">
        <f aca="false">IF(AND($B387&lt;&gt;"",$C387&lt;&gt;"",N($C387)&gt;1),COUNTIFS(Task!$A$5:$A$404,$A387,Task!$C$5:$C$404,N($C387)-1,Task!$K$5:$K$404,"&lt;&gt;Hoàn thành",Task!$K$5:$K$404,"&lt;&gt;Không áp dụng"),0)</f>
        <v>0</v>
      </c>
    </row>
    <row r="388" customFormat="false" ht="15" hidden="false" customHeight="false" outlineLevel="0" collapsed="false">
      <c r="A388" s="19"/>
      <c r="B388" s="22"/>
      <c r="C388" s="14" t="str">
        <f aca="false">IF($B388="","",IFERROR(INDEX('Mẫu task'!$B$5:$B$64,MATCH($B388,'Mẫu task'!$A$5:$A$64,0)),""))</f>
        <v/>
      </c>
      <c r="D388" s="15" t="str">
        <f aca="false">IF($C388="","",IFERROR(INDEX('Quy trình'!$B$5:$B$12,MATCH($C388,'Quy trình'!$A$5:$A$12,0)),""))</f>
        <v/>
      </c>
      <c r="E388" s="23" t="str">
        <f aca="false">IF($B388="","",IFERROR(INDEX('Mẫu task'!$D$5:$D$64,MATCH($B388,'Mẫu task'!$A$5:$A$64,0)),""))</f>
        <v/>
      </c>
      <c r="F388" s="23" t="str">
        <f aca="false">IF($B388="","",IFERROR(INDEX('Mẫu task'!$E$5:$E$64,MATCH($B388,'Mẫu task'!$A$5:$A$64,0)),""))</f>
        <v/>
      </c>
      <c r="G388" s="19"/>
      <c r="H388" s="20"/>
      <c r="I388" s="14" t="str">
        <f aca="false">IF($B388="","",IFERROR(INDEX('Mẫu task'!$H$5:$H$64,MATCH($B388,'Mẫu task'!$A$5:$A$64,0)),""))</f>
        <v/>
      </c>
      <c r="J388" s="24" t="str">
        <f aca="false">IF(OR($H388="",$I388=""),"",$H388+$I388)</f>
        <v/>
      </c>
      <c r="K388" s="22"/>
      <c r="L388" s="20"/>
      <c r="M388" s="14" t="str">
        <f aca="true">IF($B388="","",IF($K388="Hoàn thành","Xong",IF($K388="Không áp dụng","—",IF($K388="Bị chặn","Bị chặn",IF($O388=1,"TRỄ "&amp;(TODAY()-$J388)&amp;" ngày",IF(AND($K388="Đang làm",$P388&gt;0),"Bước trước chưa xong",IF(AND($J388&lt;&gt;"",N($J388)-TODAY()&lt;=3),"Sắp đến hạn",IF($K388="Đang làm","Đang làm","Chưa bắt đầu"))))))))</f>
        <v/>
      </c>
      <c r="N388" s="25"/>
      <c r="O388" s="26" t="n">
        <f aca="true">IF(AND($B388&lt;&gt;"",$K388&lt;&gt;"Hoàn thành",$K388&lt;&gt;"Không áp dụng",$J388&lt;&gt;""),IF($J388&lt;TODAY(),1,0),0)</f>
        <v>0</v>
      </c>
      <c r="P388" s="26" t="n">
        <f aca="false">IF(AND($B388&lt;&gt;"",$C388&lt;&gt;"",N($C388)&gt;1),COUNTIFS(Task!$A$5:$A$404,$A388,Task!$C$5:$C$404,N($C388)-1,Task!$K$5:$K$404,"&lt;&gt;Hoàn thành",Task!$K$5:$K$404,"&lt;&gt;Không áp dụng"),0)</f>
        <v>0</v>
      </c>
    </row>
    <row r="389" customFormat="false" ht="15" hidden="false" customHeight="false" outlineLevel="0" collapsed="false">
      <c r="A389" s="19"/>
      <c r="B389" s="22"/>
      <c r="C389" s="14" t="str">
        <f aca="false">IF($B389="","",IFERROR(INDEX('Mẫu task'!$B$5:$B$64,MATCH($B389,'Mẫu task'!$A$5:$A$64,0)),""))</f>
        <v/>
      </c>
      <c r="D389" s="15" t="str">
        <f aca="false">IF($C389="","",IFERROR(INDEX('Quy trình'!$B$5:$B$12,MATCH($C389,'Quy trình'!$A$5:$A$12,0)),""))</f>
        <v/>
      </c>
      <c r="E389" s="23" t="str">
        <f aca="false">IF($B389="","",IFERROR(INDEX('Mẫu task'!$D$5:$D$64,MATCH($B389,'Mẫu task'!$A$5:$A$64,0)),""))</f>
        <v/>
      </c>
      <c r="F389" s="23" t="str">
        <f aca="false">IF($B389="","",IFERROR(INDEX('Mẫu task'!$E$5:$E$64,MATCH($B389,'Mẫu task'!$A$5:$A$64,0)),""))</f>
        <v/>
      </c>
      <c r="G389" s="19"/>
      <c r="H389" s="20"/>
      <c r="I389" s="14" t="str">
        <f aca="false">IF($B389="","",IFERROR(INDEX('Mẫu task'!$H$5:$H$64,MATCH($B389,'Mẫu task'!$A$5:$A$64,0)),""))</f>
        <v/>
      </c>
      <c r="J389" s="24" t="str">
        <f aca="false">IF(OR($H389="",$I389=""),"",$H389+$I389)</f>
        <v/>
      </c>
      <c r="K389" s="22"/>
      <c r="L389" s="20"/>
      <c r="M389" s="14" t="str">
        <f aca="true">IF($B389="","",IF($K389="Hoàn thành","Xong",IF($K389="Không áp dụng","—",IF($K389="Bị chặn","Bị chặn",IF($O389=1,"TRỄ "&amp;(TODAY()-$J389)&amp;" ngày",IF(AND($K389="Đang làm",$P389&gt;0),"Bước trước chưa xong",IF(AND($J389&lt;&gt;"",N($J389)-TODAY()&lt;=3),"Sắp đến hạn",IF($K389="Đang làm","Đang làm","Chưa bắt đầu"))))))))</f>
        <v/>
      </c>
      <c r="N389" s="25"/>
      <c r="O389" s="26" t="n">
        <f aca="true">IF(AND($B389&lt;&gt;"",$K389&lt;&gt;"Hoàn thành",$K389&lt;&gt;"Không áp dụng",$J389&lt;&gt;""),IF($J389&lt;TODAY(),1,0),0)</f>
        <v>0</v>
      </c>
      <c r="P389" s="26" t="n">
        <f aca="false">IF(AND($B389&lt;&gt;"",$C389&lt;&gt;"",N($C389)&gt;1),COUNTIFS(Task!$A$5:$A$404,$A389,Task!$C$5:$C$404,N($C389)-1,Task!$K$5:$K$404,"&lt;&gt;Hoàn thành",Task!$K$5:$K$404,"&lt;&gt;Không áp dụng"),0)</f>
        <v>0</v>
      </c>
    </row>
    <row r="390" customFormat="false" ht="15" hidden="false" customHeight="false" outlineLevel="0" collapsed="false">
      <c r="A390" s="19"/>
      <c r="B390" s="22"/>
      <c r="C390" s="14" t="str">
        <f aca="false">IF($B390="","",IFERROR(INDEX('Mẫu task'!$B$5:$B$64,MATCH($B390,'Mẫu task'!$A$5:$A$64,0)),""))</f>
        <v/>
      </c>
      <c r="D390" s="15" t="str">
        <f aca="false">IF($C390="","",IFERROR(INDEX('Quy trình'!$B$5:$B$12,MATCH($C390,'Quy trình'!$A$5:$A$12,0)),""))</f>
        <v/>
      </c>
      <c r="E390" s="23" t="str">
        <f aca="false">IF($B390="","",IFERROR(INDEX('Mẫu task'!$D$5:$D$64,MATCH($B390,'Mẫu task'!$A$5:$A$64,0)),""))</f>
        <v/>
      </c>
      <c r="F390" s="23" t="str">
        <f aca="false">IF($B390="","",IFERROR(INDEX('Mẫu task'!$E$5:$E$64,MATCH($B390,'Mẫu task'!$A$5:$A$64,0)),""))</f>
        <v/>
      </c>
      <c r="G390" s="19"/>
      <c r="H390" s="20"/>
      <c r="I390" s="14" t="str">
        <f aca="false">IF($B390="","",IFERROR(INDEX('Mẫu task'!$H$5:$H$64,MATCH($B390,'Mẫu task'!$A$5:$A$64,0)),""))</f>
        <v/>
      </c>
      <c r="J390" s="24" t="str">
        <f aca="false">IF(OR($H390="",$I390=""),"",$H390+$I390)</f>
        <v/>
      </c>
      <c r="K390" s="22"/>
      <c r="L390" s="20"/>
      <c r="M390" s="14" t="str">
        <f aca="true">IF($B390="","",IF($K390="Hoàn thành","Xong",IF($K390="Không áp dụng","—",IF($K390="Bị chặn","Bị chặn",IF($O390=1,"TRỄ "&amp;(TODAY()-$J390)&amp;" ngày",IF(AND($K390="Đang làm",$P390&gt;0),"Bước trước chưa xong",IF(AND($J390&lt;&gt;"",N($J390)-TODAY()&lt;=3),"Sắp đến hạn",IF($K390="Đang làm","Đang làm","Chưa bắt đầu"))))))))</f>
        <v/>
      </c>
      <c r="N390" s="25"/>
      <c r="O390" s="26" t="n">
        <f aca="true">IF(AND($B390&lt;&gt;"",$K390&lt;&gt;"Hoàn thành",$K390&lt;&gt;"Không áp dụng",$J390&lt;&gt;""),IF($J390&lt;TODAY(),1,0),0)</f>
        <v>0</v>
      </c>
      <c r="P390" s="26" t="n">
        <f aca="false">IF(AND($B390&lt;&gt;"",$C390&lt;&gt;"",N($C390)&gt;1),COUNTIFS(Task!$A$5:$A$404,$A390,Task!$C$5:$C$404,N($C390)-1,Task!$K$5:$K$404,"&lt;&gt;Hoàn thành",Task!$K$5:$K$404,"&lt;&gt;Không áp dụng"),0)</f>
        <v>0</v>
      </c>
    </row>
    <row r="391" customFormat="false" ht="15" hidden="false" customHeight="false" outlineLevel="0" collapsed="false">
      <c r="A391" s="19"/>
      <c r="B391" s="22"/>
      <c r="C391" s="14" t="str">
        <f aca="false">IF($B391="","",IFERROR(INDEX('Mẫu task'!$B$5:$B$64,MATCH($B391,'Mẫu task'!$A$5:$A$64,0)),""))</f>
        <v/>
      </c>
      <c r="D391" s="15" t="str">
        <f aca="false">IF($C391="","",IFERROR(INDEX('Quy trình'!$B$5:$B$12,MATCH($C391,'Quy trình'!$A$5:$A$12,0)),""))</f>
        <v/>
      </c>
      <c r="E391" s="23" t="str">
        <f aca="false">IF($B391="","",IFERROR(INDEX('Mẫu task'!$D$5:$D$64,MATCH($B391,'Mẫu task'!$A$5:$A$64,0)),""))</f>
        <v/>
      </c>
      <c r="F391" s="23" t="str">
        <f aca="false">IF($B391="","",IFERROR(INDEX('Mẫu task'!$E$5:$E$64,MATCH($B391,'Mẫu task'!$A$5:$A$64,0)),""))</f>
        <v/>
      </c>
      <c r="G391" s="19"/>
      <c r="H391" s="20"/>
      <c r="I391" s="14" t="str">
        <f aca="false">IF($B391="","",IFERROR(INDEX('Mẫu task'!$H$5:$H$64,MATCH($B391,'Mẫu task'!$A$5:$A$64,0)),""))</f>
        <v/>
      </c>
      <c r="J391" s="24" t="str">
        <f aca="false">IF(OR($H391="",$I391=""),"",$H391+$I391)</f>
        <v/>
      </c>
      <c r="K391" s="22"/>
      <c r="L391" s="20"/>
      <c r="M391" s="14" t="str">
        <f aca="true">IF($B391="","",IF($K391="Hoàn thành","Xong",IF($K391="Không áp dụng","—",IF($K391="Bị chặn","Bị chặn",IF($O391=1,"TRỄ "&amp;(TODAY()-$J391)&amp;" ngày",IF(AND($K391="Đang làm",$P391&gt;0),"Bước trước chưa xong",IF(AND($J391&lt;&gt;"",N($J391)-TODAY()&lt;=3),"Sắp đến hạn",IF($K391="Đang làm","Đang làm","Chưa bắt đầu"))))))))</f>
        <v/>
      </c>
      <c r="N391" s="25"/>
      <c r="O391" s="26" t="n">
        <f aca="true">IF(AND($B391&lt;&gt;"",$K391&lt;&gt;"Hoàn thành",$K391&lt;&gt;"Không áp dụng",$J391&lt;&gt;""),IF($J391&lt;TODAY(),1,0),0)</f>
        <v>0</v>
      </c>
      <c r="P391" s="26" t="n">
        <f aca="false">IF(AND($B391&lt;&gt;"",$C391&lt;&gt;"",N($C391)&gt;1),COUNTIFS(Task!$A$5:$A$404,$A391,Task!$C$5:$C$404,N($C391)-1,Task!$K$5:$K$404,"&lt;&gt;Hoàn thành",Task!$K$5:$K$404,"&lt;&gt;Không áp dụng"),0)</f>
        <v>0</v>
      </c>
    </row>
    <row r="392" customFormat="false" ht="15" hidden="false" customHeight="false" outlineLevel="0" collapsed="false">
      <c r="A392" s="19"/>
      <c r="B392" s="22"/>
      <c r="C392" s="14" t="str">
        <f aca="false">IF($B392="","",IFERROR(INDEX('Mẫu task'!$B$5:$B$64,MATCH($B392,'Mẫu task'!$A$5:$A$64,0)),""))</f>
        <v/>
      </c>
      <c r="D392" s="15" t="str">
        <f aca="false">IF($C392="","",IFERROR(INDEX('Quy trình'!$B$5:$B$12,MATCH($C392,'Quy trình'!$A$5:$A$12,0)),""))</f>
        <v/>
      </c>
      <c r="E392" s="23" t="str">
        <f aca="false">IF($B392="","",IFERROR(INDEX('Mẫu task'!$D$5:$D$64,MATCH($B392,'Mẫu task'!$A$5:$A$64,0)),""))</f>
        <v/>
      </c>
      <c r="F392" s="23" t="str">
        <f aca="false">IF($B392="","",IFERROR(INDEX('Mẫu task'!$E$5:$E$64,MATCH($B392,'Mẫu task'!$A$5:$A$64,0)),""))</f>
        <v/>
      </c>
      <c r="G392" s="19"/>
      <c r="H392" s="20"/>
      <c r="I392" s="14" t="str">
        <f aca="false">IF($B392="","",IFERROR(INDEX('Mẫu task'!$H$5:$H$64,MATCH($B392,'Mẫu task'!$A$5:$A$64,0)),""))</f>
        <v/>
      </c>
      <c r="J392" s="24" t="str">
        <f aca="false">IF(OR($H392="",$I392=""),"",$H392+$I392)</f>
        <v/>
      </c>
      <c r="K392" s="22"/>
      <c r="L392" s="20"/>
      <c r="M392" s="14" t="str">
        <f aca="true">IF($B392="","",IF($K392="Hoàn thành","Xong",IF($K392="Không áp dụng","—",IF($K392="Bị chặn","Bị chặn",IF($O392=1,"TRỄ "&amp;(TODAY()-$J392)&amp;" ngày",IF(AND($K392="Đang làm",$P392&gt;0),"Bước trước chưa xong",IF(AND($J392&lt;&gt;"",N($J392)-TODAY()&lt;=3),"Sắp đến hạn",IF($K392="Đang làm","Đang làm","Chưa bắt đầu"))))))))</f>
        <v/>
      </c>
      <c r="N392" s="25"/>
      <c r="O392" s="26" t="n">
        <f aca="true">IF(AND($B392&lt;&gt;"",$K392&lt;&gt;"Hoàn thành",$K392&lt;&gt;"Không áp dụng",$J392&lt;&gt;""),IF($J392&lt;TODAY(),1,0),0)</f>
        <v>0</v>
      </c>
      <c r="P392" s="26" t="n">
        <f aca="false">IF(AND($B392&lt;&gt;"",$C392&lt;&gt;"",N($C392)&gt;1),COUNTIFS(Task!$A$5:$A$404,$A392,Task!$C$5:$C$404,N($C392)-1,Task!$K$5:$K$404,"&lt;&gt;Hoàn thành",Task!$K$5:$K$404,"&lt;&gt;Không áp dụng"),0)</f>
        <v>0</v>
      </c>
    </row>
    <row r="393" customFormat="false" ht="15" hidden="false" customHeight="false" outlineLevel="0" collapsed="false">
      <c r="A393" s="19"/>
      <c r="B393" s="22"/>
      <c r="C393" s="14" t="str">
        <f aca="false">IF($B393="","",IFERROR(INDEX('Mẫu task'!$B$5:$B$64,MATCH($B393,'Mẫu task'!$A$5:$A$64,0)),""))</f>
        <v/>
      </c>
      <c r="D393" s="15" t="str">
        <f aca="false">IF($C393="","",IFERROR(INDEX('Quy trình'!$B$5:$B$12,MATCH($C393,'Quy trình'!$A$5:$A$12,0)),""))</f>
        <v/>
      </c>
      <c r="E393" s="23" t="str">
        <f aca="false">IF($B393="","",IFERROR(INDEX('Mẫu task'!$D$5:$D$64,MATCH($B393,'Mẫu task'!$A$5:$A$64,0)),""))</f>
        <v/>
      </c>
      <c r="F393" s="23" t="str">
        <f aca="false">IF($B393="","",IFERROR(INDEX('Mẫu task'!$E$5:$E$64,MATCH($B393,'Mẫu task'!$A$5:$A$64,0)),""))</f>
        <v/>
      </c>
      <c r="G393" s="19"/>
      <c r="H393" s="20"/>
      <c r="I393" s="14" t="str">
        <f aca="false">IF($B393="","",IFERROR(INDEX('Mẫu task'!$H$5:$H$64,MATCH($B393,'Mẫu task'!$A$5:$A$64,0)),""))</f>
        <v/>
      </c>
      <c r="J393" s="24" t="str">
        <f aca="false">IF(OR($H393="",$I393=""),"",$H393+$I393)</f>
        <v/>
      </c>
      <c r="K393" s="22"/>
      <c r="L393" s="20"/>
      <c r="M393" s="14" t="str">
        <f aca="true">IF($B393="","",IF($K393="Hoàn thành","Xong",IF($K393="Không áp dụng","—",IF($K393="Bị chặn","Bị chặn",IF($O393=1,"TRỄ "&amp;(TODAY()-$J393)&amp;" ngày",IF(AND($K393="Đang làm",$P393&gt;0),"Bước trước chưa xong",IF(AND($J393&lt;&gt;"",N($J393)-TODAY()&lt;=3),"Sắp đến hạn",IF($K393="Đang làm","Đang làm","Chưa bắt đầu"))))))))</f>
        <v/>
      </c>
      <c r="N393" s="25"/>
      <c r="O393" s="26" t="n">
        <f aca="true">IF(AND($B393&lt;&gt;"",$K393&lt;&gt;"Hoàn thành",$K393&lt;&gt;"Không áp dụng",$J393&lt;&gt;""),IF($J393&lt;TODAY(),1,0),0)</f>
        <v>0</v>
      </c>
      <c r="P393" s="26" t="n">
        <f aca="false">IF(AND($B393&lt;&gt;"",$C393&lt;&gt;"",N($C393)&gt;1),COUNTIFS(Task!$A$5:$A$404,$A393,Task!$C$5:$C$404,N($C393)-1,Task!$K$5:$K$404,"&lt;&gt;Hoàn thành",Task!$K$5:$K$404,"&lt;&gt;Không áp dụng"),0)</f>
        <v>0</v>
      </c>
    </row>
    <row r="394" customFormat="false" ht="15" hidden="false" customHeight="false" outlineLevel="0" collapsed="false">
      <c r="A394" s="19"/>
      <c r="B394" s="22"/>
      <c r="C394" s="14" t="str">
        <f aca="false">IF($B394="","",IFERROR(INDEX('Mẫu task'!$B$5:$B$64,MATCH($B394,'Mẫu task'!$A$5:$A$64,0)),""))</f>
        <v/>
      </c>
      <c r="D394" s="15" t="str">
        <f aca="false">IF($C394="","",IFERROR(INDEX('Quy trình'!$B$5:$B$12,MATCH($C394,'Quy trình'!$A$5:$A$12,0)),""))</f>
        <v/>
      </c>
      <c r="E394" s="23" t="str">
        <f aca="false">IF($B394="","",IFERROR(INDEX('Mẫu task'!$D$5:$D$64,MATCH($B394,'Mẫu task'!$A$5:$A$64,0)),""))</f>
        <v/>
      </c>
      <c r="F394" s="23" t="str">
        <f aca="false">IF($B394="","",IFERROR(INDEX('Mẫu task'!$E$5:$E$64,MATCH($B394,'Mẫu task'!$A$5:$A$64,0)),""))</f>
        <v/>
      </c>
      <c r="G394" s="19"/>
      <c r="H394" s="20"/>
      <c r="I394" s="14" t="str">
        <f aca="false">IF($B394="","",IFERROR(INDEX('Mẫu task'!$H$5:$H$64,MATCH($B394,'Mẫu task'!$A$5:$A$64,0)),""))</f>
        <v/>
      </c>
      <c r="J394" s="24" t="str">
        <f aca="false">IF(OR($H394="",$I394=""),"",$H394+$I394)</f>
        <v/>
      </c>
      <c r="K394" s="22"/>
      <c r="L394" s="20"/>
      <c r="M394" s="14" t="str">
        <f aca="true">IF($B394="","",IF($K394="Hoàn thành","Xong",IF($K394="Không áp dụng","—",IF($K394="Bị chặn","Bị chặn",IF($O394=1,"TRỄ "&amp;(TODAY()-$J394)&amp;" ngày",IF(AND($K394="Đang làm",$P394&gt;0),"Bước trước chưa xong",IF(AND($J394&lt;&gt;"",N($J394)-TODAY()&lt;=3),"Sắp đến hạn",IF($K394="Đang làm","Đang làm","Chưa bắt đầu"))))))))</f>
        <v/>
      </c>
      <c r="N394" s="25"/>
      <c r="O394" s="26" t="n">
        <f aca="true">IF(AND($B394&lt;&gt;"",$K394&lt;&gt;"Hoàn thành",$K394&lt;&gt;"Không áp dụng",$J394&lt;&gt;""),IF($J394&lt;TODAY(),1,0),0)</f>
        <v>0</v>
      </c>
      <c r="P394" s="26" t="n">
        <f aca="false">IF(AND($B394&lt;&gt;"",$C394&lt;&gt;"",N($C394)&gt;1),COUNTIFS(Task!$A$5:$A$404,$A394,Task!$C$5:$C$404,N($C394)-1,Task!$K$5:$K$404,"&lt;&gt;Hoàn thành",Task!$K$5:$K$404,"&lt;&gt;Không áp dụng"),0)</f>
        <v>0</v>
      </c>
    </row>
    <row r="395" customFormat="false" ht="15" hidden="false" customHeight="false" outlineLevel="0" collapsed="false">
      <c r="A395" s="19"/>
      <c r="B395" s="22"/>
      <c r="C395" s="14" t="str">
        <f aca="false">IF($B395="","",IFERROR(INDEX('Mẫu task'!$B$5:$B$64,MATCH($B395,'Mẫu task'!$A$5:$A$64,0)),""))</f>
        <v/>
      </c>
      <c r="D395" s="15" t="str">
        <f aca="false">IF($C395="","",IFERROR(INDEX('Quy trình'!$B$5:$B$12,MATCH($C395,'Quy trình'!$A$5:$A$12,0)),""))</f>
        <v/>
      </c>
      <c r="E395" s="23" t="str">
        <f aca="false">IF($B395="","",IFERROR(INDEX('Mẫu task'!$D$5:$D$64,MATCH($B395,'Mẫu task'!$A$5:$A$64,0)),""))</f>
        <v/>
      </c>
      <c r="F395" s="23" t="str">
        <f aca="false">IF($B395="","",IFERROR(INDEX('Mẫu task'!$E$5:$E$64,MATCH($B395,'Mẫu task'!$A$5:$A$64,0)),""))</f>
        <v/>
      </c>
      <c r="G395" s="19"/>
      <c r="H395" s="20"/>
      <c r="I395" s="14" t="str">
        <f aca="false">IF($B395="","",IFERROR(INDEX('Mẫu task'!$H$5:$H$64,MATCH($B395,'Mẫu task'!$A$5:$A$64,0)),""))</f>
        <v/>
      </c>
      <c r="J395" s="24" t="str">
        <f aca="false">IF(OR($H395="",$I395=""),"",$H395+$I395)</f>
        <v/>
      </c>
      <c r="K395" s="22"/>
      <c r="L395" s="20"/>
      <c r="M395" s="14" t="str">
        <f aca="true">IF($B395="","",IF($K395="Hoàn thành","Xong",IF($K395="Không áp dụng","—",IF($K395="Bị chặn","Bị chặn",IF($O395=1,"TRỄ "&amp;(TODAY()-$J395)&amp;" ngày",IF(AND($K395="Đang làm",$P395&gt;0),"Bước trước chưa xong",IF(AND($J395&lt;&gt;"",N($J395)-TODAY()&lt;=3),"Sắp đến hạn",IF($K395="Đang làm","Đang làm","Chưa bắt đầu"))))))))</f>
        <v/>
      </c>
      <c r="N395" s="25"/>
      <c r="O395" s="26" t="n">
        <f aca="true">IF(AND($B395&lt;&gt;"",$K395&lt;&gt;"Hoàn thành",$K395&lt;&gt;"Không áp dụng",$J395&lt;&gt;""),IF($J395&lt;TODAY(),1,0),0)</f>
        <v>0</v>
      </c>
      <c r="P395" s="26" t="n">
        <f aca="false">IF(AND($B395&lt;&gt;"",$C395&lt;&gt;"",N($C395)&gt;1),COUNTIFS(Task!$A$5:$A$404,$A395,Task!$C$5:$C$404,N($C395)-1,Task!$K$5:$K$404,"&lt;&gt;Hoàn thành",Task!$K$5:$K$404,"&lt;&gt;Không áp dụng"),0)</f>
        <v>0</v>
      </c>
    </row>
    <row r="396" customFormat="false" ht="15" hidden="false" customHeight="false" outlineLevel="0" collapsed="false">
      <c r="A396" s="19"/>
      <c r="B396" s="22"/>
      <c r="C396" s="14" t="str">
        <f aca="false">IF($B396="","",IFERROR(INDEX('Mẫu task'!$B$5:$B$64,MATCH($B396,'Mẫu task'!$A$5:$A$64,0)),""))</f>
        <v/>
      </c>
      <c r="D396" s="15" t="str">
        <f aca="false">IF($C396="","",IFERROR(INDEX('Quy trình'!$B$5:$B$12,MATCH($C396,'Quy trình'!$A$5:$A$12,0)),""))</f>
        <v/>
      </c>
      <c r="E396" s="23" t="str">
        <f aca="false">IF($B396="","",IFERROR(INDEX('Mẫu task'!$D$5:$D$64,MATCH($B396,'Mẫu task'!$A$5:$A$64,0)),""))</f>
        <v/>
      </c>
      <c r="F396" s="23" t="str">
        <f aca="false">IF($B396="","",IFERROR(INDEX('Mẫu task'!$E$5:$E$64,MATCH($B396,'Mẫu task'!$A$5:$A$64,0)),""))</f>
        <v/>
      </c>
      <c r="G396" s="19"/>
      <c r="H396" s="20"/>
      <c r="I396" s="14" t="str">
        <f aca="false">IF($B396="","",IFERROR(INDEX('Mẫu task'!$H$5:$H$64,MATCH($B396,'Mẫu task'!$A$5:$A$64,0)),""))</f>
        <v/>
      </c>
      <c r="J396" s="24" t="str">
        <f aca="false">IF(OR($H396="",$I396=""),"",$H396+$I396)</f>
        <v/>
      </c>
      <c r="K396" s="22"/>
      <c r="L396" s="20"/>
      <c r="M396" s="14" t="str">
        <f aca="true">IF($B396="","",IF($K396="Hoàn thành","Xong",IF($K396="Không áp dụng","—",IF($K396="Bị chặn","Bị chặn",IF($O396=1,"TRỄ "&amp;(TODAY()-$J396)&amp;" ngày",IF(AND($K396="Đang làm",$P396&gt;0),"Bước trước chưa xong",IF(AND($J396&lt;&gt;"",N($J396)-TODAY()&lt;=3),"Sắp đến hạn",IF($K396="Đang làm","Đang làm","Chưa bắt đầu"))))))))</f>
        <v/>
      </c>
      <c r="N396" s="25"/>
      <c r="O396" s="26" t="n">
        <f aca="true">IF(AND($B396&lt;&gt;"",$K396&lt;&gt;"Hoàn thành",$K396&lt;&gt;"Không áp dụng",$J396&lt;&gt;""),IF($J396&lt;TODAY(),1,0),0)</f>
        <v>0</v>
      </c>
      <c r="P396" s="26" t="n">
        <f aca="false">IF(AND($B396&lt;&gt;"",$C396&lt;&gt;"",N($C396)&gt;1),COUNTIFS(Task!$A$5:$A$404,$A396,Task!$C$5:$C$404,N($C396)-1,Task!$K$5:$K$404,"&lt;&gt;Hoàn thành",Task!$K$5:$K$404,"&lt;&gt;Không áp dụng"),0)</f>
        <v>0</v>
      </c>
    </row>
    <row r="397" customFormat="false" ht="15" hidden="false" customHeight="false" outlineLevel="0" collapsed="false">
      <c r="A397" s="19"/>
      <c r="B397" s="22"/>
      <c r="C397" s="14" t="str">
        <f aca="false">IF($B397="","",IFERROR(INDEX('Mẫu task'!$B$5:$B$64,MATCH($B397,'Mẫu task'!$A$5:$A$64,0)),""))</f>
        <v/>
      </c>
      <c r="D397" s="15" t="str">
        <f aca="false">IF($C397="","",IFERROR(INDEX('Quy trình'!$B$5:$B$12,MATCH($C397,'Quy trình'!$A$5:$A$12,0)),""))</f>
        <v/>
      </c>
      <c r="E397" s="23" t="str">
        <f aca="false">IF($B397="","",IFERROR(INDEX('Mẫu task'!$D$5:$D$64,MATCH($B397,'Mẫu task'!$A$5:$A$64,0)),""))</f>
        <v/>
      </c>
      <c r="F397" s="23" t="str">
        <f aca="false">IF($B397="","",IFERROR(INDEX('Mẫu task'!$E$5:$E$64,MATCH($B397,'Mẫu task'!$A$5:$A$64,0)),""))</f>
        <v/>
      </c>
      <c r="G397" s="19"/>
      <c r="H397" s="20"/>
      <c r="I397" s="14" t="str">
        <f aca="false">IF($B397="","",IFERROR(INDEX('Mẫu task'!$H$5:$H$64,MATCH($B397,'Mẫu task'!$A$5:$A$64,0)),""))</f>
        <v/>
      </c>
      <c r="J397" s="24" t="str">
        <f aca="false">IF(OR($H397="",$I397=""),"",$H397+$I397)</f>
        <v/>
      </c>
      <c r="K397" s="22"/>
      <c r="L397" s="20"/>
      <c r="M397" s="14" t="str">
        <f aca="true">IF($B397="","",IF($K397="Hoàn thành","Xong",IF($K397="Không áp dụng","—",IF($K397="Bị chặn","Bị chặn",IF($O397=1,"TRỄ "&amp;(TODAY()-$J397)&amp;" ngày",IF(AND($K397="Đang làm",$P397&gt;0),"Bước trước chưa xong",IF(AND($J397&lt;&gt;"",N($J397)-TODAY()&lt;=3),"Sắp đến hạn",IF($K397="Đang làm","Đang làm","Chưa bắt đầu"))))))))</f>
        <v/>
      </c>
      <c r="N397" s="25"/>
      <c r="O397" s="26" t="n">
        <f aca="true">IF(AND($B397&lt;&gt;"",$K397&lt;&gt;"Hoàn thành",$K397&lt;&gt;"Không áp dụng",$J397&lt;&gt;""),IF($J397&lt;TODAY(),1,0),0)</f>
        <v>0</v>
      </c>
      <c r="P397" s="26" t="n">
        <f aca="false">IF(AND($B397&lt;&gt;"",$C397&lt;&gt;"",N($C397)&gt;1),COUNTIFS(Task!$A$5:$A$404,$A397,Task!$C$5:$C$404,N($C397)-1,Task!$K$5:$K$404,"&lt;&gt;Hoàn thành",Task!$K$5:$K$404,"&lt;&gt;Không áp dụng"),0)</f>
        <v>0</v>
      </c>
    </row>
    <row r="398" customFormat="false" ht="15" hidden="false" customHeight="false" outlineLevel="0" collapsed="false">
      <c r="A398" s="19"/>
      <c r="B398" s="22"/>
      <c r="C398" s="14" t="str">
        <f aca="false">IF($B398="","",IFERROR(INDEX('Mẫu task'!$B$5:$B$64,MATCH($B398,'Mẫu task'!$A$5:$A$64,0)),""))</f>
        <v/>
      </c>
      <c r="D398" s="15" t="str">
        <f aca="false">IF($C398="","",IFERROR(INDEX('Quy trình'!$B$5:$B$12,MATCH($C398,'Quy trình'!$A$5:$A$12,0)),""))</f>
        <v/>
      </c>
      <c r="E398" s="23" t="str">
        <f aca="false">IF($B398="","",IFERROR(INDEX('Mẫu task'!$D$5:$D$64,MATCH($B398,'Mẫu task'!$A$5:$A$64,0)),""))</f>
        <v/>
      </c>
      <c r="F398" s="23" t="str">
        <f aca="false">IF($B398="","",IFERROR(INDEX('Mẫu task'!$E$5:$E$64,MATCH($B398,'Mẫu task'!$A$5:$A$64,0)),""))</f>
        <v/>
      </c>
      <c r="G398" s="19"/>
      <c r="H398" s="20"/>
      <c r="I398" s="14" t="str">
        <f aca="false">IF($B398="","",IFERROR(INDEX('Mẫu task'!$H$5:$H$64,MATCH($B398,'Mẫu task'!$A$5:$A$64,0)),""))</f>
        <v/>
      </c>
      <c r="J398" s="24" t="str">
        <f aca="false">IF(OR($H398="",$I398=""),"",$H398+$I398)</f>
        <v/>
      </c>
      <c r="K398" s="22"/>
      <c r="L398" s="20"/>
      <c r="M398" s="14" t="str">
        <f aca="true">IF($B398="","",IF($K398="Hoàn thành","Xong",IF($K398="Không áp dụng","—",IF($K398="Bị chặn","Bị chặn",IF($O398=1,"TRỄ "&amp;(TODAY()-$J398)&amp;" ngày",IF(AND($K398="Đang làm",$P398&gt;0),"Bước trước chưa xong",IF(AND($J398&lt;&gt;"",N($J398)-TODAY()&lt;=3),"Sắp đến hạn",IF($K398="Đang làm","Đang làm","Chưa bắt đầu"))))))))</f>
        <v/>
      </c>
      <c r="N398" s="25"/>
      <c r="O398" s="26" t="n">
        <f aca="true">IF(AND($B398&lt;&gt;"",$K398&lt;&gt;"Hoàn thành",$K398&lt;&gt;"Không áp dụng",$J398&lt;&gt;""),IF($J398&lt;TODAY(),1,0),0)</f>
        <v>0</v>
      </c>
      <c r="P398" s="26" t="n">
        <f aca="false">IF(AND($B398&lt;&gt;"",$C398&lt;&gt;"",N($C398)&gt;1),COUNTIFS(Task!$A$5:$A$404,$A398,Task!$C$5:$C$404,N($C398)-1,Task!$K$5:$K$404,"&lt;&gt;Hoàn thành",Task!$K$5:$K$404,"&lt;&gt;Không áp dụng"),0)</f>
        <v>0</v>
      </c>
    </row>
    <row r="399" customFormat="false" ht="15" hidden="false" customHeight="false" outlineLevel="0" collapsed="false">
      <c r="A399" s="19"/>
      <c r="B399" s="22"/>
      <c r="C399" s="14" t="str">
        <f aca="false">IF($B399="","",IFERROR(INDEX('Mẫu task'!$B$5:$B$64,MATCH($B399,'Mẫu task'!$A$5:$A$64,0)),""))</f>
        <v/>
      </c>
      <c r="D399" s="15" t="str">
        <f aca="false">IF($C399="","",IFERROR(INDEX('Quy trình'!$B$5:$B$12,MATCH($C399,'Quy trình'!$A$5:$A$12,0)),""))</f>
        <v/>
      </c>
      <c r="E399" s="23" t="str">
        <f aca="false">IF($B399="","",IFERROR(INDEX('Mẫu task'!$D$5:$D$64,MATCH($B399,'Mẫu task'!$A$5:$A$64,0)),""))</f>
        <v/>
      </c>
      <c r="F399" s="23" t="str">
        <f aca="false">IF($B399="","",IFERROR(INDEX('Mẫu task'!$E$5:$E$64,MATCH($B399,'Mẫu task'!$A$5:$A$64,0)),""))</f>
        <v/>
      </c>
      <c r="G399" s="19"/>
      <c r="H399" s="20"/>
      <c r="I399" s="14" t="str">
        <f aca="false">IF($B399="","",IFERROR(INDEX('Mẫu task'!$H$5:$H$64,MATCH($B399,'Mẫu task'!$A$5:$A$64,0)),""))</f>
        <v/>
      </c>
      <c r="J399" s="24" t="str">
        <f aca="false">IF(OR($H399="",$I399=""),"",$H399+$I399)</f>
        <v/>
      </c>
      <c r="K399" s="22"/>
      <c r="L399" s="20"/>
      <c r="M399" s="14" t="str">
        <f aca="true">IF($B399="","",IF($K399="Hoàn thành","Xong",IF($K399="Không áp dụng","—",IF($K399="Bị chặn","Bị chặn",IF($O399=1,"TRỄ "&amp;(TODAY()-$J399)&amp;" ngày",IF(AND($K399="Đang làm",$P399&gt;0),"Bước trước chưa xong",IF(AND($J399&lt;&gt;"",N($J399)-TODAY()&lt;=3),"Sắp đến hạn",IF($K399="Đang làm","Đang làm","Chưa bắt đầu"))))))))</f>
        <v/>
      </c>
      <c r="N399" s="25"/>
      <c r="O399" s="26" t="n">
        <f aca="true">IF(AND($B399&lt;&gt;"",$K399&lt;&gt;"Hoàn thành",$K399&lt;&gt;"Không áp dụng",$J399&lt;&gt;""),IF($J399&lt;TODAY(),1,0),0)</f>
        <v>0</v>
      </c>
      <c r="P399" s="26" t="n">
        <f aca="false">IF(AND($B399&lt;&gt;"",$C399&lt;&gt;"",N($C399)&gt;1),COUNTIFS(Task!$A$5:$A$404,$A399,Task!$C$5:$C$404,N($C399)-1,Task!$K$5:$K$404,"&lt;&gt;Hoàn thành",Task!$K$5:$K$404,"&lt;&gt;Không áp dụng"),0)</f>
        <v>0</v>
      </c>
    </row>
    <row r="400" customFormat="false" ht="15" hidden="false" customHeight="false" outlineLevel="0" collapsed="false">
      <c r="A400" s="19"/>
      <c r="B400" s="22"/>
      <c r="C400" s="14" t="str">
        <f aca="false">IF($B400="","",IFERROR(INDEX('Mẫu task'!$B$5:$B$64,MATCH($B400,'Mẫu task'!$A$5:$A$64,0)),""))</f>
        <v/>
      </c>
      <c r="D400" s="15" t="str">
        <f aca="false">IF($C400="","",IFERROR(INDEX('Quy trình'!$B$5:$B$12,MATCH($C400,'Quy trình'!$A$5:$A$12,0)),""))</f>
        <v/>
      </c>
      <c r="E400" s="23" t="str">
        <f aca="false">IF($B400="","",IFERROR(INDEX('Mẫu task'!$D$5:$D$64,MATCH($B400,'Mẫu task'!$A$5:$A$64,0)),""))</f>
        <v/>
      </c>
      <c r="F400" s="23" t="str">
        <f aca="false">IF($B400="","",IFERROR(INDEX('Mẫu task'!$E$5:$E$64,MATCH($B400,'Mẫu task'!$A$5:$A$64,0)),""))</f>
        <v/>
      </c>
      <c r="G400" s="19"/>
      <c r="H400" s="20"/>
      <c r="I400" s="14" t="str">
        <f aca="false">IF($B400="","",IFERROR(INDEX('Mẫu task'!$H$5:$H$64,MATCH($B400,'Mẫu task'!$A$5:$A$64,0)),""))</f>
        <v/>
      </c>
      <c r="J400" s="24" t="str">
        <f aca="false">IF(OR($H400="",$I400=""),"",$H400+$I400)</f>
        <v/>
      </c>
      <c r="K400" s="22"/>
      <c r="L400" s="20"/>
      <c r="M400" s="14" t="str">
        <f aca="true">IF($B400="","",IF($K400="Hoàn thành","Xong",IF($K400="Không áp dụng","—",IF($K400="Bị chặn","Bị chặn",IF($O400=1,"TRỄ "&amp;(TODAY()-$J400)&amp;" ngày",IF(AND($K400="Đang làm",$P400&gt;0),"Bước trước chưa xong",IF(AND($J400&lt;&gt;"",N($J400)-TODAY()&lt;=3),"Sắp đến hạn",IF($K400="Đang làm","Đang làm","Chưa bắt đầu"))))))))</f>
        <v/>
      </c>
      <c r="N400" s="25"/>
      <c r="O400" s="26" t="n">
        <f aca="true">IF(AND($B400&lt;&gt;"",$K400&lt;&gt;"Hoàn thành",$K400&lt;&gt;"Không áp dụng",$J400&lt;&gt;""),IF($J400&lt;TODAY(),1,0),0)</f>
        <v>0</v>
      </c>
      <c r="P400" s="26" t="n">
        <f aca="false">IF(AND($B400&lt;&gt;"",$C400&lt;&gt;"",N($C400)&gt;1),COUNTIFS(Task!$A$5:$A$404,$A400,Task!$C$5:$C$404,N($C400)-1,Task!$K$5:$K$404,"&lt;&gt;Hoàn thành",Task!$K$5:$K$404,"&lt;&gt;Không áp dụng"),0)</f>
        <v>0</v>
      </c>
    </row>
    <row r="401" customFormat="false" ht="15" hidden="false" customHeight="false" outlineLevel="0" collapsed="false">
      <c r="A401" s="19"/>
      <c r="B401" s="22"/>
      <c r="C401" s="14" t="str">
        <f aca="false">IF($B401="","",IFERROR(INDEX('Mẫu task'!$B$5:$B$64,MATCH($B401,'Mẫu task'!$A$5:$A$64,0)),""))</f>
        <v/>
      </c>
      <c r="D401" s="15" t="str">
        <f aca="false">IF($C401="","",IFERROR(INDEX('Quy trình'!$B$5:$B$12,MATCH($C401,'Quy trình'!$A$5:$A$12,0)),""))</f>
        <v/>
      </c>
      <c r="E401" s="23" t="str">
        <f aca="false">IF($B401="","",IFERROR(INDEX('Mẫu task'!$D$5:$D$64,MATCH($B401,'Mẫu task'!$A$5:$A$64,0)),""))</f>
        <v/>
      </c>
      <c r="F401" s="23" t="str">
        <f aca="false">IF($B401="","",IFERROR(INDEX('Mẫu task'!$E$5:$E$64,MATCH($B401,'Mẫu task'!$A$5:$A$64,0)),""))</f>
        <v/>
      </c>
      <c r="G401" s="19"/>
      <c r="H401" s="20"/>
      <c r="I401" s="14" t="str">
        <f aca="false">IF($B401="","",IFERROR(INDEX('Mẫu task'!$H$5:$H$64,MATCH($B401,'Mẫu task'!$A$5:$A$64,0)),""))</f>
        <v/>
      </c>
      <c r="J401" s="24" t="str">
        <f aca="false">IF(OR($H401="",$I401=""),"",$H401+$I401)</f>
        <v/>
      </c>
      <c r="K401" s="22"/>
      <c r="L401" s="20"/>
      <c r="M401" s="14" t="str">
        <f aca="true">IF($B401="","",IF($K401="Hoàn thành","Xong",IF($K401="Không áp dụng","—",IF($K401="Bị chặn","Bị chặn",IF($O401=1,"TRỄ "&amp;(TODAY()-$J401)&amp;" ngày",IF(AND($K401="Đang làm",$P401&gt;0),"Bước trước chưa xong",IF(AND($J401&lt;&gt;"",N($J401)-TODAY()&lt;=3),"Sắp đến hạn",IF($K401="Đang làm","Đang làm","Chưa bắt đầu"))))))))</f>
        <v/>
      </c>
      <c r="N401" s="25"/>
      <c r="O401" s="26" t="n">
        <f aca="true">IF(AND($B401&lt;&gt;"",$K401&lt;&gt;"Hoàn thành",$K401&lt;&gt;"Không áp dụng",$J401&lt;&gt;""),IF($J401&lt;TODAY(),1,0),0)</f>
        <v>0</v>
      </c>
      <c r="P401" s="26" t="n">
        <f aca="false">IF(AND($B401&lt;&gt;"",$C401&lt;&gt;"",N($C401)&gt;1),COUNTIFS(Task!$A$5:$A$404,$A401,Task!$C$5:$C$404,N($C401)-1,Task!$K$5:$K$404,"&lt;&gt;Hoàn thành",Task!$K$5:$K$404,"&lt;&gt;Không áp dụng"),0)</f>
        <v>0</v>
      </c>
    </row>
    <row r="402" customFormat="false" ht="15" hidden="false" customHeight="false" outlineLevel="0" collapsed="false">
      <c r="A402" s="19"/>
      <c r="B402" s="22"/>
      <c r="C402" s="14" t="str">
        <f aca="false">IF($B402="","",IFERROR(INDEX('Mẫu task'!$B$5:$B$64,MATCH($B402,'Mẫu task'!$A$5:$A$64,0)),""))</f>
        <v/>
      </c>
      <c r="D402" s="15" t="str">
        <f aca="false">IF($C402="","",IFERROR(INDEX('Quy trình'!$B$5:$B$12,MATCH($C402,'Quy trình'!$A$5:$A$12,0)),""))</f>
        <v/>
      </c>
      <c r="E402" s="23" t="str">
        <f aca="false">IF($B402="","",IFERROR(INDEX('Mẫu task'!$D$5:$D$64,MATCH($B402,'Mẫu task'!$A$5:$A$64,0)),""))</f>
        <v/>
      </c>
      <c r="F402" s="23" t="str">
        <f aca="false">IF($B402="","",IFERROR(INDEX('Mẫu task'!$E$5:$E$64,MATCH($B402,'Mẫu task'!$A$5:$A$64,0)),""))</f>
        <v/>
      </c>
      <c r="G402" s="19"/>
      <c r="H402" s="20"/>
      <c r="I402" s="14" t="str">
        <f aca="false">IF($B402="","",IFERROR(INDEX('Mẫu task'!$H$5:$H$64,MATCH($B402,'Mẫu task'!$A$5:$A$64,0)),""))</f>
        <v/>
      </c>
      <c r="J402" s="24" t="str">
        <f aca="false">IF(OR($H402="",$I402=""),"",$H402+$I402)</f>
        <v/>
      </c>
      <c r="K402" s="22"/>
      <c r="L402" s="20"/>
      <c r="M402" s="14" t="str">
        <f aca="true">IF($B402="","",IF($K402="Hoàn thành","Xong",IF($K402="Không áp dụng","—",IF($K402="Bị chặn","Bị chặn",IF($O402=1,"TRỄ "&amp;(TODAY()-$J402)&amp;" ngày",IF(AND($K402="Đang làm",$P402&gt;0),"Bước trước chưa xong",IF(AND($J402&lt;&gt;"",N($J402)-TODAY()&lt;=3),"Sắp đến hạn",IF($K402="Đang làm","Đang làm","Chưa bắt đầu"))))))))</f>
        <v/>
      </c>
      <c r="N402" s="25"/>
      <c r="O402" s="26" t="n">
        <f aca="true">IF(AND($B402&lt;&gt;"",$K402&lt;&gt;"Hoàn thành",$K402&lt;&gt;"Không áp dụng",$J402&lt;&gt;""),IF($J402&lt;TODAY(),1,0),0)</f>
        <v>0</v>
      </c>
      <c r="P402" s="26" t="n">
        <f aca="false">IF(AND($B402&lt;&gt;"",$C402&lt;&gt;"",N($C402)&gt;1),COUNTIFS(Task!$A$5:$A$404,$A402,Task!$C$5:$C$404,N($C402)-1,Task!$K$5:$K$404,"&lt;&gt;Hoàn thành",Task!$K$5:$K$404,"&lt;&gt;Không áp dụng"),0)</f>
        <v>0</v>
      </c>
    </row>
    <row r="403" customFormat="false" ht="15" hidden="false" customHeight="false" outlineLevel="0" collapsed="false">
      <c r="A403" s="19"/>
      <c r="B403" s="22"/>
      <c r="C403" s="14" t="str">
        <f aca="false">IF($B403="","",IFERROR(INDEX('Mẫu task'!$B$5:$B$64,MATCH($B403,'Mẫu task'!$A$5:$A$64,0)),""))</f>
        <v/>
      </c>
      <c r="D403" s="15" t="str">
        <f aca="false">IF($C403="","",IFERROR(INDEX('Quy trình'!$B$5:$B$12,MATCH($C403,'Quy trình'!$A$5:$A$12,0)),""))</f>
        <v/>
      </c>
      <c r="E403" s="23" t="str">
        <f aca="false">IF($B403="","",IFERROR(INDEX('Mẫu task'!$D$5:$D$64,MATCH($B403,'Mẫu task'!$A$5:$A$64,0)),""))</f>
        <v/>
      </c>
      <c r="F403" s="23" t="str">
        <f aca="false">IF($B403="","",IFERROR(INDEX('Mẫu task'!$E$5:$E$64,MATCH($B403,'Mẫu task'!$A$5:$A$64,0)),""))</f>
        <v/>
      </c>
      <c r="G403" s="19"/>
      <c r="H403" s="20"/>
      <c r="I403" s="14" t="str">
        <f aca="false">IF($B403="","",IFERROR(INDEX('Mẫu task'!$H$5:$H$64,MATCH($B403,'Mẫu task'!$A$5:$A$64,0)),""))</f>
        <v/>
      </c>
      <c r="J403" s="24" t="str">
        <f aca="false">IF(OR($H403="",$I403=""),"",$H403+$I403)</f>
        <v/>
      </c>
      <c r="K403" s="22"/>
      <c r="L403" s="20"/>
      <c r="M403" s="14" t="str">
        <f aca="true">IF($B403="","",IF($K403="Hoàn thành","Xong",IF($K403="Không áp dụng","—",IF($K403="Bị chặn","Bị chặn",IF($O403=1,"TRỄ "&amp;(TODAY()-$J403)&amp;" ngày",IF(AND($K403="Đang làm",$P403&gt;0),"Bước trước chưa xong",IF(AND($J403&lt;&gt;"",N($J403)-TODAY()&lt;=3),"Sắp đến hạn",IF($K403="Đang làm","Đang làm","Chưa bắt đầu"))))))))</f>
        <v/>
      </c>
      <c r="N403" s="25"/>
      <c r="O403" s="26" t="n">
        <f aca="true">IF(AND($B403&lt;&gt;"",$K403&lt;&gt;"Hoàn thành",$K403&lt;&gt;"Không áp dụng",$J403&lt;&gt;""),IF($J403&lt;TODAY(),1,0),0)</f>
        <v>0</v>
      </c>
      <c r="P403" s="26" t="n">
        <f aca="false">IF(AND($B403&lt;&gt;"",$C403&lt;&gt;"",N($C403)&gt;1),COUNTIFS(Task!$A$5:$A$404,$A403,Task!$C$5:$C$404,N($C403)-1,Task!$K$5:$K$404,"&lt;&gt;Hoàn thành",Task!$K$5:$K$404,"&lt;&gt;Không áp dụng"),0)</f>
        <v>0</v>
      </c>
    </row>
    <row r="404" customFormat="false" ht="15" hidden="false" customHeight="false" outlineLevel="0" collapsed="false">
      <c r="A404" s="19"/>
      <c r="B404" s="22"/>
      <c r="C404" s="14" t="str">
        <f aca="false">IF($B404="","",IFERROR(INDEX('Mẫu task'!$B$5:$B$64,MATCH($B404,'Mẫu task'!$A$5:$A$64,0)),""))</f>
        <v/>
      </c>
      <c r="D404" s="15" t="str">
        <f aca="false">IF($C404="","",IFERROR(INDEX('Quy trình'!$B$5:$B$12,MATCH($C404,'Quy trình'!$A$5:$A$12,0)),""))</f>
        <v/>
      </c>
      <c r="E404" s="23" t="str">
        <f aca="false">IF($B404="","",IFERROR(INDEX('Mẫu task'!$D$5:$D$64,MATCH($B404,'Mẫu task'!$A$5:$A$64,0)),""))</f>
        <v/>
      </c>
      <c r="F404" s="23" t="str">
        <f aca="false">IF($B404="","",IFERROR(INDEX('Mẫu task'!$E$5:$E$64,MATCH($B404,'Mẫu task'!$A$5:$A$64,0)),""))</f>
        <v/>
      </c>
      <c r="G404" s="19"/>
      <c r="H404" s="20"/>
      <c r="I404" s="14" t="str">
        <f aca="false">IF($B404="","",IFERROR(INDEX('Mẫu task'!$H$5:$H$64,MATCH($B404,'Mẫu task'!$A$5:$A$64,0)),""))</f>
        <v/>
      </c>
      <c r="J404" s="24" t="str">
        <f aca="false">IF(OR($H404="",$I404=""),"",$H404+$I404)</f>
        <v/>
      </c>
      <c r="K404" s="22"/>
      <c r="L404" s="20"/>
      <c r="M404" s="14" t="str">
        <f aca="true">IF($B404="","",IF($K404="Hoàn thành","Xong",IF($K404="Không áp dụng","—",IF($K404="Bị chặn","Bị chặn",IF($O404=1,"TRỄ "&amp;(TODAY()-$J404)&amp;" ngày",IF(AND($K404="Đang làm",$P404&gt;0),"Bước trước chưa xong",IF(AND($J404&lt;&gt;"",N($J404)-TODAY()&lt;=3),"Sắp đến hạn",IF($K404="Đang làm","Đang làm","Chưa bắt đầu"))))))))</f>
        <v/>
      </c>
      <c r="N404" s="25"/>
      <c r="O404" s="26" t="n">
        <f aca="true">IF(AND($B404&lt;&gt;"",$K404&lt;&gt;"Hoàn thành",$K404&lt;&gt;"Không áp dụng",$J404&lt;&gt;""),IF($J404&lt;TODAY(),1,0),0)</f>
        <v>0</v>
      </c>
      <c r="P404" s="26" t="n">
        <f aca="false">IF(AND($B404&lt;&gt;"",$C404&lt;&gt;"",N($C404)&gt;1),COUNTIFS(Task!$A$5:$A$404,$A404,Task!$C$5:$C$404,N($C404)-1,Task!$K$5:$K$404,"&lt;&gt;Hoàn thành",Task!$K$5:$K$404,"&lt;&gt;Không áp dụng"),0)</f>
        <v>0</v>
      </c>
    </row>
  </sheetData>
  <autoFilter ref="A4:P404"/>
  <conditionalFormatting sqref="M5:M404">
    <cfRule type="cellIs" priority="2" operator="equal" aboveAverage="0" equalAverage="0" bottom="0" percent="0" rank="0" text="" dxfId="0">
      <formula>"Xong"</formula>
    </cfRule>
    <cfRule type="cellIs" priority="3" operator="equal" aboveAverage="0" equalAverage="0" bottom="0" percent="0" rank="0" text="" dxfId="3">
      <formula>"Bị chặn"</formula>
    </cfRule>
    <cfRule type="cellIs" priority="4" operator="equal" aboveAverage="0" equalAverage="0" bottom="0" percent="0" rank="0" text="" dxfId="2">
      <formula>"Sắp đến hạn"</formula>
    </cfRule>
    <cfRule type="cellIs" priority="5" operator="equal" aboveAverage="0" equalAverage="0" bottom="0" percent="0" rank="0" text="" dxfId="1">
      <formula>"Đang làm"</formula>
    </cfRule>
    <cfRule type="cellIs" priority="6" operator="equal" aboveAverage="0" equalAverage="0" bottom="0" percent="0" rank="0" text="" dxfId="18">
      <formula>"Bước trước chưa xong"</formula>
    </cfRule>
    <cfRule type="expression" priority="7" aboveAverage="0" equalAverage="0" bottom="0" percent="0" rank="0" text="" dxfId="19">
      <formula>LEFT(M5,3)="TRỄ"</formula>
    </cfRule>
  </conditionalFormatting>
  <dataValidations count="4">
    <dataValidation allowBlank="true" errorStyle="stop" operator="between" showDropDown="false" showErrorMessage="false" showInputMessage="false" sqref="A5:A404" type="list">
      <formula1>Partner!$A$5:$A$54</formula1>
      <formula2>0</formula2>
    </dataValidation>
    <dataValidation allowBlank="true" errorStyle="stop" operator="between" showDropDown="false" showErrorMessage="false" showInputMessage="false" sqref="B5:B404" type="list">
      <formula1>'Mẫu task'!$A$5:$A$64</formula1>
      <formula2>0</formula2>
    </dataValidation>
    <dataValidation allowBlank="true" errorStyle="stop" operator="between" showDropDown="false" showErrorMessage="false" showInputMessage="false" sqref="K5:K404" type="list">
      <formula1>"Chưa bắt đầu,Đang làm,Hoàn thành,Bị chặn,Không áp dụng"</formula1>
      <formula2>0</formula2>
    </dataValidation>
    <dataValidation allowBlank="true" error="Nhập ngày hợp lệ (dd/mm/yyyy)" errorStyle="stop" operator="greaterThan" showDropDown="false" showErrorMessage="true" showInputMessage="false" sqref="H5:H404 L5:L404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13" min="4" style="0" width="16"/>
  </cols>
  <sheetData>
    <row r="1" customFormat="false" ht="17.35" hidden="false" customHeight="false" outlineLevel="0" collapsed="false">
      <c r="A1" s="1" t="s">
        <v>140</v>
      </c>
    </row>
    <row r="2" customFormat="false" ht="15" hidden="false" customHeight="false" outlineLevel="0" collapsed="false">
      <c r="A2" s="2" t="s">
        <v>141</v>
      </c>
    </row>
    <row r="4" customFormat="false" ht="45" hidden="false" customHeight="true" outlineLevel="0" collapsed="false">
      <c r="A4" s="13" t="s">
        <v>142</v>
      </c>
      <c r="B4" s="13" t="s">
        <v>143</v>
      </c>
      <c r="C4" s="13" t="s">
        <v>144</v>
      </c>
      <c r="D4" s="13" t="str">
        <f aca="false">IF(Partner!$A$5="","",Partner!$A$5)</f>
        <v>Partner mẫu A (ví dụ – xoá/ghi đè)</v>
      </c>
      <c r="E4" s="13" t="str">
        <f aca="false">IF(Partner!$A$6="","",Partner!$A$6)</f>
        <v>Partner mẫu B (ví dụ – xoá/ghi đè)</v>
      </c>
      <c r="F4" s="13" t="str">
        <f aca="false">IF(Partner!$A$7="","",Partner!$A$7)</f>
        <v/>
      </c>
      <c r="G4" s="13" t="str">
        <f aca="false">IF(Partner!$A$8="","",Partner!$A$8)</f>
        <v/>
      </c>
      <c r="H4" s="13" t="str">
        <f aca="false">IF(Partner!$A$9="","",Partner!$A$9)</f>
        <v/>
      </c>
      <c r="I4" s="13" t="str">
        <f aca="false">IF(Partner!$A$10="","",Partner!$A$10)</f>
        <v/>
      </c>
      <c r="J4" s="13" t="str">
        <f aca="false">IF(Partner!$A$11="","",Partner!$A$11)</f>
        <v/>
      </c>
      <c r="K4" s="13" t="str">
        <f aca="false">IF(Partner!$A$12="","",Partner!$A$12)</f>
        <v/>
      </c>
      <c r="L4" s="13" t="str">
        <f aca="false">IF(Partner!$A$13="","",Partner!$A$13)</f>
        <v/>
      </c>
      <c r="M4" s="13" t="str">
        <f aca="false">IF(Partner!$A$14="","",Partner!$A$14)</f>
        <v/>
      </c>
    </row>
    <row r="5" customFormat="false" ht="15" hidden="false" customHeight="false" outlineLevel="0" collapsed="false">
      <c r="A5" s="25" t="s">
        <v>145</v>
      </c>
      <c r="B5" s="22" t="n">
        <v>25</v>
      </c>
      <c r="C5" s="22" t="s">
        <v>146</v>
      </c>
      <c r="D5" s="22" t="n">
        <v>4</v>
      </c>
      <c r="E5" s="22"/>
      <c r="F5" s="22"/>
      <c r="G5" s="22"/>
      <c r="H5" s="22"/>
      <c r="I5" s="22"/>
      <c r="J5" s="22"/>
      <c r="K5" s="22"/>
      <c r="L5" s="22"/>
      <c r="M5" s="22"/>
    </row>
    <row r="6" customFormat="false" ht="15" hidden="false" customHeight="false" outlineLevel="0" collapsed="false">
      <c r="A6" s="25" t="s">
        <v>147</v>
      </c>
      <c r="B6" s="22" t="n">
        <v>20</v>
      </c>
      <c r="C6" s="22" t="s">
        <v>148</v>
      </c>
      <c r="D6" s="22" t="n">
        <v>4</v>
      </c>
      <c r="E6" s="22"/>
      <c r="F6" s="22"/>
      <c r="G6" s="22"/>
      <c r="H6" s="22"/>
      <c r="I6" s="22"/>
      <c r="J6" s="22"/>
      <c r="K6" s="22"/>
      <c r="L6" s="22"/>
      <c r="M6" s="22"/>
    </row>
    <row r="7" customFormat="false" ht="15" hidden="false" customHeight="false" outlineLevel="0" collapsed="false">
      <c r="A7" s="25" t="s">
        <v>149</v>
      </c>
      <c r="B7" s="22" t="n">
        <v>15</v>
      </c>
      <c r="C7" s="22" t="s">
        <v>146</v>
      </c>
      <c r="D7" s="22" t="n">
        <v>3</v>
      </c>
      <c r="E7" s="22"/>
      <c r="F7" s="22"/>
      <c r="G7" s="22"/>
      <c r="H7" s="22"/>
      <c r="I7" s="22"/>
      <c r="J7" s="22"/>
      <c r="K7" s="22"/>
      <c r="L7" s="22"/>
      <c r="M7" s="22"/>
    </row>
    <row r="8" customFormat="false" ht="15" hidden="false" customHeight="false" outlineLevel="0" collapsed="false">
      <c r="A8" s="25" t="s">
        <v>150</v>
      </c>
      <c r="B8" s="22" t="n">
        <v>15</v>
      </c>
      <c r="C8" s="22" t="s">
        <v>146</v>
      </c>
      <c r="D8" s="22" t="n">
        <v>3</v>
      </c>
      <c r="E8" s="22"/>
      <c r="F8" s="22"/>
      <c r="G8" s="22"/>
      <c r="H8" s="22"/>
      <c r="I8" s="22"/>
      <c r="J8" s="22"/>
      <c r="K8" s="22"/>
      <c r="L8" s="22"/>
      <c r="M8" s="22"/>
    </row>
    <row r="9" customFormat="false" ht="15" hidden="false" customHeight="false" outlineLevel="0" collapsed="false">
      <c r="A9" s="25" t="s">
        <v>151</v>
      </c>
      <c r="B9" s="22" t="n">
        <v>10</v>
      </c>
      <c r="C9" s="22" t="s">
        <v>146</v>
      </c>
      <c r="D9" s="22" t="n">
        <v>4</v>
      </c>
      <c r="E9" s="22"/>
      <c r="F9" s="22"/>
      <c r="G9" s="22"/>
      <c r="H9" s="22"/>
      <c r="I9" s="22"/>
      <c r="J9" s="22"/>
      <c r="K9" s="22"/>
      <c r="L9" s="22"/>
      <c r="M9" s="22"/>
    </row>
    <row r="10" customFormat="false" ht="15" hidden="false" customHeight="false" outlineLevel="0" collapsed="false">
      <c r="A10" s="25" t="s">
        <v>152</v>
      </c>
      <c r="B10" s="22" t="n">
        <v>10</v>
      </c>
      <c r="C10" s="22" t="s">
        <v>146</v>
      </c>
      <c r="D10" s="22" t="n">
        <v>3</v>
      </c>
      <c r="E10" s="22"/>
      <c r="F10" s="22"/>
      <c r="G10" s="22"/>
      <c r="H10" s="22"/>
      <c r="I10" s="22"/>
      <c r="J10" s="22"/>
      <c r="K10" s="22"/>
      <c r="L10" s="22"/>
      <c r="M10" s="22"/>
    </row>
    <row r="11" customFormat="false" ht="15" hidden="false" customHeight="false" outlineLevel="0" collapsed="false">
      <c r="A11" s="25" t="s">
        <v>153</v>
      </c>
      <c r="B11" s="22" t="n">
        <v>5</v>
      </c>
      <c r="C11" s="22" t="s">
        <v>148</v>
      </c>
      <c r="D11" s="22" t="n">
        <v>5</v>
      </c>
      <c r="E11" s="22"/>
      <c r="F11" s="22"/>
      <c r="G11" s="22"/>
      <c r="H11" s="22"/>
      <c r="I11" s="22"/>
      <c r="J11" s="22"/>
      <c r="K11" s="22"/>
      <c r="L11" s="22"/>
      <c r="M11" s="22"/>
    </row>
    <row r="12" customFormat="false" ht="15" hidden="false" customHeight="false" outlineLevel="0" collapsed="false">
      <c r="A12" s="27" t="s">
        <v>154</v>
      </c>
      <c r="B12" s="28" t="n">
        <f aca="false">SUM(B5:B11)</f>
        <v>100</v>
      </c>
      <c r="C12" s="28" t="str">
        <f aca="false">IF(B12=100,"OK","Sai trọng số")</f>
        <v>OK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</row>
    <row r="13" customFormat="false" ht="15" hidden="false" customHeight="false" outlineLevel="0" collapsed="false">
      <c r="A13" s="27" t="s">
        <v>155</v>
      </c>
      <c r="B13" s="28"/>
      <c r="C13" s="28"/>
      <c r="D13" s="29" t="n">
        <f aca="false">IF(OR(D$4="",COUNT(D5:D11)=0),"",SUMPRODUCT($B$5:$B$11,D5:D11)/($B$20*SUMPRODUCT($B$5:$B$11,--(D5:D11&lt;&gt;""))))</f>
        <v>0.73</v>
      </c>
      <c r="E13" s="29" t="str">
        <f aca="false">IF(OR(E$4="",COUNT(E5:E11)=0),"",SUMPRODUCT($B$5:$B$11,E5:E11)/($B$20*SUMPRODUCT($B$5:$B$11,--(E5:E11&lt;&gt;""))))</f>
        <v/>
      </c>
      <c r="F13" s="29" t="str">
        <f aca="false">IF(OR(F$4="",COUNT(F5:F11)=0),"",SUMPRODUCT($B$5:$B$11,F5:F11)/($B$20*SUMPRODUCT($B$5:$B$11,--(F5:F11&lt;&gt;""))))</f>
        <v/>
      </c>
      <c r="G13" s="29" t="str">
        <f aca="false">IF(OR(G$4="",COUNT(G5:G11)=0),"",SUMPRODUCT($B$5:$B$11,G5:G11)/($B$20*SUMPRODUCT($B$5:$B$11,--(G5:G11&lt;&gt;""))))</f>
        <v/>
      </c>
      <c r="H13" s="29" t="str">
        <f aca="false">IF(OR(H$4="",COUNT(H5:H11)=0),"",SUMPRODUCT($B$5:$B$11,H5:H11)/($B$20*SUMPRODUCT($B$5:$B$11,--(H5:H11&lt;&gt;""))))</f>
        <v/>
      </c>
      <c r="I13" s="29" t="str">
        <f aca="false">IF(OR(I$4="",COUNT(I5:I11)=0),"",SUMPRODUCT($B$5:$B$11,I5:I11)/($B$20*SUMPRODUCT($B$5:$B$11,--(I5:I11&lt;&gt;""))))</f>
        <v/>
      </c>
      <c r="J13" s="29" t="str">
        <f aca="false">IF(OR(J$4="",COUNT(J5:J11)=0),"",SUMPRODUCT($B$5:$B$11,J5:J11)/($B$20*SUMPRODUCT($B$5:$B$11,--(J5:J11&lt;&gt;""))))</f>
        <v/>
      </c>
      <c r="K13" s="29" t="str">
        <f aca="false">IF(OR(K$4="",COUNT(K5:K11)=0),"",SUMPRODUCT($B$5:$B$11,K5:K11)/($B$20*SUMPRODUCT($B$5:$B$11,--(K5:K11&lt;&gt;""))))</f>
        <v/>
      </c>
      <c r="L13" s="29" t="str">
        <f aca="false">IF(OR(L$4="",COUNT(L5:L11)=0),"",SUMPRODUCT($B$5:$B$11,L5:L11)/($B$20*SUMPRODUCT($B$5:$B$11,--(L5:L11&lt;&gt;""))))</f>
        <v/>
      </c>
      <c r="M13" s="29" t="str">
        <f aca="false">IF(OR(M$4="",COUNT(M5:M11)=0),"",SUMPRODUCT($B$5:$B$11,M5:M11)/($B$20*SUMPRODUCT($B$5:$B$11,--(M5:M11&lt;&gt;""))))</f>
        <v/>
      </c>
    </row>
    <row r="14" customFormat="false" ht="15" hidden="false" customHeight="false" outlineLevel="0" collapsed="false">
      <c r="A14" s="27" t="s">
        <v>156</v>
      </c>
      <c r="B14" s="28"/>
      <c r="C14" s="28"/>
      <c r="D14" s="28" t="n">
        <f aca="false">IF(D$4="","",COUNTIFS($C$5:$C$11,"Có",D5:D11,"&lt;"&amp;$B$19))</f>
        <v>0</v>
      </c>
      <c r="E14" s="28" t="n">
        <f aca="false">IF(E$4="","",COUNTIFS($C$5:$C$11,"Có",E5:E11,"&lt;"&amp;$B$19))</f>
        <v>0</v>
      </c>
      <c r="F14" s="28" t="str">
        <f aca="false">IF(F$4="","",COUNTIFS($C$5:$C$11,"Có",F5:F11,"&lt;"&amp;$B$19))</f>
        <v/>
      </c>
      <c r="G14" s="28" t="str">
        <f aca="false">IF(G$4="","",COUNTIFS($C$5:$C$11,"Có",G5:G11,"&lt;"&amp;$B$19))</f>
        <v/>
      </c>
      <c r="H14" s="28" t="str">
        <f aca="false">IF(H$4="","",COUNTIFS($C$5:$C$11,"Có",H5:H11,"&lt;"&amp;$B$19))</f>
        <v/>
      </c>
      <c r="I14" s="28" t="str">
        <f aca="false">IF(I$4="","",COUNTIFS($C$5:$C$11,"Có",I5:I11,"&lt;"&amp;$B$19))</f>
        <v/>
      </c>
      <c r="J14" s="28" t="str">
        <f aca="false">IF(J$4="","",COUNTIFS($C$5:$C$11,"Có",J5:J11,"&lt;"&amp;$B$19))</f>
        <v/>
      </c>
      <c r="K14" s="28" t="str">
        <f aca="false">IF(K$4="","",COUNTIFS($C$5:$C$11,"Có",K5:K11,"&lt;"&amp;$B$19))</f>
        <v/>
      </c>
      <c r="L14" s="28" t="str">
        <f aca="false">IF(L$4="","",COUNTIFS($C$5:$C$11,"Có",L5:L11,"&lt;"&amp;$B$19))</f>
        <v/>
      </c>
      <c r="M14" s="28" t="str">
        <f aca="false">IF(M$4="","",COUNTIFS($C$5:$C$11,"Có",M5:M11,"&lt;"&amp;$B$19))</f>
        <v/>
      </c>
    </row>
    <row r="15" customFormat="false" ht="15" hidden="false" customHeight="false" outlineLevel="0" collapsed="false">
      <c r="A15" s="27" t="s">
        <v>157</v>
      </c>
      <c r="B15" s="28"/>
      <c r="C15" s="28"/>
      <c r="D15" s="28" t="n">
        <f aca="false">IF(D$4="","",COUNT(D5:D11))</f>
        <v>7</v>
      </c>
      <c r="E15" s="28" t="n">
        <f aca="false">IF(E$4="","",COUNT(E5:E11))</f>
        <v>0</v>
      </c>
      <c r="F15" s="28" t="str">
        <f aca="false">IF(F$4="","",COUNT(F5:F11))</f>
        <v/>
      </c>
      <c r="G15" s="28" t="str">
        <f aca="false">IF(G$4="","",COUNT(G5:G11))</f>
        <v/>
      </c>
      <c r="H15" s="28" t="str">
        <f aca="false">IF(H$4="","",COUNT(H5:H11))</f>
        <v/>
      </c>
      <c r="I15" s="28" t="str">
        <f aca="false">IF(I$4="","",COUNT(I5:I11))</f>
        <v/>
      </c>
      <c r="J15" s="28" t="str">
        <f aca="false">IF(J$4="","",COUNT(J5:J11))</f>
        <v/>
      </c>
      <c r="K15" s="28" t="str">
        <f aca="false">IF(K$4="","",COUNT(K5:K11))</f>
        <v/>
      </c>
      <c r="L15" s="28" t="str">
        <f aca="false">IF(L$4="","",COUNT(L5:L11))</f>
        <v/>
      </c>
      <c r="M15" s="28" t="str">
        <f aca="false">IF(M$4="","",COUNT(M5:M11))</f>
        <v/>
      </c>
    </row>
    <row r="16" customFormat="false" ht="15" hidden="false" customHeight="false" outlineLevel="0" collapsed="false">
      <c r="A16" s="27" t="s">
        <v>158</v>
      </c>
      <c r="B16" s="30"/>
      <c r="C16" s="30"/>
      <c r="D16" s="30" t="str">
        <f aca="false">IF(D$4="","",IF(D15&lt;ROWS(D5:D11),"Chưa chấm đủ",IF(D14&gt;0,"Chưa đạt (tiêu chí bắt buộc)",IF(D13&gt;=$B$18,"OK – đạt","Chưa đạt"))))</f>
        <v>OK – đạt</v>
      </c>
      <c r="E16" s="30" t="str">
        <f aca="false">IF(E$4="","",IF(E15&lt;ROWS(E5:E11),"Chưa chấm đủ",IF(E14&gt;0,"Chưa đạt (tiêu chí bắt buộc)",IF(E13&gt;=$B$18,"OK – đạt","Chưa đạt"))))</f>
        <v>Chưa chấm đủ</v>
      </c>
      <c r="F16" s="30" t="str">
        <f aca="false">IF(F$4="","",IF(F15&lt;ROWS(F5:F11),"Chưa chấm đủ",IF(F14&gt;0,"Chưa đạt (tiêu chí bắt buộc)",IF(F13&gt;=$B$18,"OK – đạt","Chưa đạt"))))</f>
        <v/>
      </c>
      <c r="G16" s="30" t="str">
        <f aca="false">IF(G$4="","",IF(G15&lt;ROWS(G5:G11),"Chưa chấm đủ",IF(G14&gt;0,"Chưa đạt (tiêu chí bắt buộc)",IF(G13&gt;=$B$18,"OK – đạt","Chưa đạt"))))</f>
        <v/>
      </c>
      <c r="H16" s="30" t="str">
        <f aca="false">IF(H$4="","",IF(H15&lt;ROWS(H5:H11),"Chưa chấm đủ",IF(H14&gt;0,"Chưa đạt (tiêu chí bắt buộc)",IF(H13&gt;=$B$18,"OK – đạt","Chưa đạt"))))</f>
        <v/>
      </c>
      <c r="I16" s="30" t="str">
        <f aca="false">IF(I$4="","",IF(I15&lt;ROWS(I5:I11),"Chưa chấm đủ",IF(I14&gt;0,"Chưa đạt (tiêu chí bắt buộc)",IF(I13&gt;=$B$18,"OK – đạt","Chưa đạt"))))</f>
        <v/>
      </c>
      <c r="J16" s="30" t="str">
        <f aca="false">IF(J$4="","",IF(J15&lt;ROWS(J5:J11),"Chưa chấm đủ",IF(J14&gt;0,"Chưa đạt (tiêu chí bắt buộc)",IF(J13&gt;=$B$18,"OK – đạt","Chưa đạt"))))</f>
        <v/>
      </c>
      <c r="K16" s="30" t="str">
        <f aca="false">IF(K$4="","",IF(K15&lt;ROWS(K5:K11),"Chưa chấm đủ",IF(K14&gt;0,"Chưa đạt (tiêu chí bắt buộc)",IF(K13&gt;=$B$18,"OK – đạt","Chưa đạt"))))</f>
        <v/>
      </c>
      <c r="L16" s="30" t="str">
        <f aca="false">IF(L$4="","",IF(L15&lt;ROWS(L5:L11),"Chưa chấm đủ",IF(L14&gt;0,"Chưa đạt (tiêu chí bắt buộc)",IF(L13&gt;=$B$18,"OK – đạt","Chưa đạt"))))</f>
        <v/>
      </c>
      <c r="M16" s="30" t="str">
        <f aca="false">IF(M$4="","",IF(M15&lt;ROWS(M5:M11),"Chưa chấm đủ",IF(M14&gt;0,"Chưa đạt (tiêu chí bắt buộc)",IF(M13&gt;=$B$18,"OK – đạt","Chưa đạt"))))</f>
        <v/>
      </c>
    </row>
    <row r="17" customFormat="false" ht="15" hidden="false" customHeight="false" outlineLevel="0" collapsed="false">
      <c r="A17" s="31" t="s">
        <v>159</v>
      </c>
    </row>
    <row r="18" customFormat="false" ht="15" hidden="false" customHeight="false" outlineLevel="0" collapsed="false">
      <c r="A18" s="32" t="s">
        <v>160</v>
      </c>
      <c r="B18" s="33" t="n">
        <v>0.7</v>
      </c>
      <c r="C18" s="34" t="s">
        <v>161</v>
      </c>
    </row>
    <row r="19" customFormat="false" ht="15" hidden="false" customHeight="false" outlineLevel="0" collapsed="false">
      <c r="A19" s="32" t="s">
        <v>162</v>
      </c>
      <c r="B19" s="35" t="n">
        <v>3</v>
      </c>
    </row>
    <row r="20" customFormat="false" ht="15" hidden="false" customHeight="false" outlineLevel="0" collapsed="false">
      <c r="A20" s="32" t="s">
        <v>163</v>
      </c>
      <c r="B20" s="35" t="n">
        <v>5</v>
      </c>
    </row>
    <row r="22" customFormat="false" ht="15" hidden="false" customHeight="false" outlineLevel="0" collapsed="false">
      <c r="A22" s="2" t="s">
        <v>164</v>
      </c>
    </row>
  </sheetData>
  <conditionalFormatting sqref="D16:M16">
    <cfRule type="expression" priority="2" aboveAverage="0" equalAverage="0" bottom="0" percent="0" rank="0" text="" dxfId="0">
      <formula>LEFT(D16,2)="OK"</formula>
    </cfRule>
    <cfRule type="expression" priority="3" aboveAverage="0" equalAverage="0" bottom="0" percent="0" rank="0" text="" dxfId="2">
      <formula>LEFT(D16,5)="Chưa "</formula>
    </cfRule>
  </conditionalFormatting>
  <dataValidations count="2">
    <dataValidation allowBlank="true" error="Điểm từ 0 đến 5" errorStyle="stop" operator="between" showDropDown="false" showErrorMessage="true" showInputMessage="false" sqref="D5:M11" type="decimal">
      <formula1>0</formula1>
      <formula2>5</formula2>
    </dataValidation>
    <dataValidation allowBlank="true" errorStyle="stop" operator="between" showDropDown="false" showErrorMessage="false" showInputMessage="false" sqref="C5:C11" type="list">
      <formula1>"Có,Không"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32"/>
    <col collapsed="false" customWidth="true" hidden="false" outlineLevel="0" max="4" min="4" style="0" width="48"/>
    <col collapsed="false" customWidth="true" hidden="false" outlineLevel="0" max="5" min="5" style="0" width="34"/>
    <col collapsed="false" customWidth="true" hidden="false" outlineLevel="0" max="6" min="6" style="0" width="32"/>
    <col collapsed="false" customWidth="true" hidden="false" outlineLevel="0" max="7" min="7" style="0" width="22"/>
    <col collapsed="false" customWidth="true" hidden="false" outlineLevel="0" max="8" min="8" style="0" width="14"/>
    <col collapsed="false" customWidth="true" hidden="false" outlineLevel="0" max="9" min="9" style="0" width="12"/>
  </cols>
  <sheetData>
    <row r="1" customFormat="false" ht="17.35" hidden="false" customHeight="false" outlineLevel="0" collapsed="false">
      <c r="A1" s="1" t="s">
        <v>165</v>
      </c>
    </row>
    <row r="2" customFormat="false" ht="15" hidden="false" customHeight="false" outlineLevel="0" collapsed="false">
      <c r="A2" s="2" t="s">
        <v>166</v>
      </c>
    </row>
    <row r="4" customFormat="false" ht="23.85" hidden="false" customHeight="false" outlineLevel="0" collapsed="false">
      <c r="A4" s="13" t="s">
        <v>41</v>
      </c>
      <c r="B4" s="13" t="s">
        <v>42</v>
      </c>
      <c r="C4" s="13" t="s">
        <v>167</v>
      </c>
      <c r="D4" s="13" t="s">
        <v>87</v>
      </c>
      <c r="E4" s="13" t="s">
        <v>168</v>
      </c>
      <c r="F4" s="13" t="s">
        <v>169</v>
      </c>
      <c r="G4" s="13" t="s">
        <v>170</v>
      </c>
      <c r="H4" s="13" t="s">
        <v>171</v>
      </c>
      <c r="I4" s="13" t="s">
        <v>172</v>
      </c>
    </row>
    <row r="5" customFormat="false" ht="23.85" hidden="false" customHeight="false" outlineLevel="0" collapsed="false">
      <c r="A5" s="14" t="n">
        <v>1</v>
      </c>
      <c r="B5" s="25" t="s">
        <v>173</v>
      </c>
      <c r="C5" s="25" t="s">
        <v>174</v>
      </c>
      <c r="D5" s="25" t="s">
        <v>175</v>
      </c>
      <c r="E5" s="25" t="s">
        <v>176</v>
      </c>
      <c r="F5" s="25" t="s">
        <v>177</v>
      </c>
      <c r="G5" s="25" t="s">
        <v>178</v>
      </c>
      <c r="H5" s="14" t="n">
        <f aca="false">SUMIFS('Mẫu task'!$H$5:$H$64,'Mẫu task'!$B$5:$B$64,$A5)</f>
        <v>17</v>
      </c>
      <c r="I5" s="14" t="n">
        <f aca="false">COUNTIFS('Mẫu task'!$B$5:$B$64,$A5)</f>
        <v>4</v>
      </c>
    </row>
    <row r="6" customFormat="false" ht="23.85" hidden="false" customHeight="false" outlineLevel="0" collapsed="false">
      <c r="A6" s="14" t="n">
        <v>2</v>
      </c>
      <c r="B6" s="25" t="s">
        <v>179</v>
      </c>
      <c r="C6" s="25" t="s">
        <v>180</v>
      </c>
      <c r="D6" s="25" t="s">
        <v>181</v>
      </c>
      <c r="E6" s="25" t="s">
        <v>182</v>
      </c>
      <c r="F6" s="25" t="s">
        <v>183</v>
      </c>
      <c r="G6" s="25" t="s">
        <v>178</v>
      </c>
      <c r="H6" s="14" t="n">
        <f aca="false">SUMIFS('Mẫu task'!$H$5:$H$64,'Mẫu task'!$B$5:$B$64,$A6)</f>
        <v>16</v>
      </c>
      <c r="I6" s="14" t="n">
        <f aca="false">COUNTIFS('Mẫu task'!$B$5:$B$64,$A6)</f>
        <v>4</v>
      </c>
    </row>
    <row r="7" customFormat="false" ht="23.85" hidden="false" customHeight="false" outlineLevel="0" collapsed="false">
      <c r="A7" s="14" t="n">
        <v>3</v>
      </c>
      <c r="B7" s="25" t="s">
        <v>184</v>
      </c>
      <c r="C7" s="25" t="s">
        <v>185</v>
      </c>
      <c r="D7" s="25" t="s">
        <v>186</v>
      </c>
      <c r="E7" s="25" t="s">
        <v>187</v>
      </c>
      <c r="F7" s="25" t="s">
        <v>188</v>
      </c>
      <c r="G7" s="25" t="s">
        <v>107</v>
      </c>
      <c r="H7" s="14" t="n">
        <f aca="false">SUMIFS('Mẫu task'!$H$5:$H$64,'Mẫu task'!$B$5:$B$64,$A7)</f>
        <v>11</v>
      </c>
      <c r="I7" s="14" t="n">
        <f aca="false">COUNTIFS('Mẫu task'!$B$5:$B$64,$A7)</f>
        <v>3</v>
      </c>
    </row>
    <row r="8" customFormat="false" ht="23.85" hidden="false" customHeight="false" outlineLevel="0" collapsed="false">
      <c r="A8" s="14" t="n">
        <v>4</v>
      </c>
      <c r="B8" s="25" t="s">
        <v>189</v>
      </c>
      <c r="C8" s="25" t="s">
        <v>190</v>
      </c>
      <c r="D8" s="25" t="s">
        <v>191</v>
      </c>
      <c r="E8" s="25" t="s">
        <v>192</v>
      </c>
      <c r="F8" s="25" t="s">
        <v>193</v>
      </c>
      <c r="G8" s="25" t="s">
        <v>178</v>
      </c>
      <c r="H8" s="14" t="n">
        <f aca="false">SUMIFS('Mẫu task'!$H$5:$H$64,'Mẫu task'!$B$5:$B$64,$A8)</f>
        <v>25</v>
      </c>
      <c r="I8" s="14" t="n">
        <f aca="false">COUNTIFS('Mẫu task'!$B$5:$B$64,$A8)</f>
        <v>5</v>
      </c>
    </row>
    <row r="9" customFormat="false" ht="23.85" hidden="false" customHeight="false" outlineLevel="0" collapsed="false">
      <c r="A9" s="14" t="n">
        <v>5</v>
      </c>
      <c r="B9" s="25" t="s">
        <v>194</v>
      </c>
      <c r="C9" s="25" t="s">
        <v>195</v>
      </c>
      <c r="D9" s="25" t="s">
        <v>196</v>
      </c>
      <c r="E9" s="25" t="s">
        <v>197</v>
      </c>
      <c r="F9" s="25" t="s">
        <v>198</v>
      </c>
      <c r="G9" s="25" t="s">
        <v>199</v>
      </c>
      <c r="H9" s="14" t="n">
        <f aca="false">SUMIFS('Mẫu task'!$H$5:$H$64,'Mẫu task'!$B$5:$B$64,$A9)</f>
        <v>13</v>
      </c>
      <c r="I9" s="14" t="n">
        <f aca="false">COUNTIFS('Mẫu task'!$B$5:$B$64,$A9)</f>
        <v>5</v>
      </c>
    </row>
    <row r="10" customFormat="false" ht="15" hidden="false" customHeight="false" outlineLevel="0" collapsed="false">
      <c r="A10" s="14" t="n">
        <v>6</v>
      </c>
      <c r="B10" s="25" t="s">
        <v>200</v>
      </c>
      <c r="C10" s="25" t="s">
        <v>201</v>
      </c>
      <c r="D10" s="25" t="s">
        <v>202</v>
      </c>
      <c r="E10" s="25" t="s">
        <v>203</v>
      </c>
      <c r="F10" s="25" t="s">
        <v>204</v>
      </c>
      <c r="G10" s="25" t="s">
        <v>205</v>
      </c>
      <c r="H10" s="14" t="n">
        <f aca="false">SUMIFS('Mẫu task'!$H$5:$H$64,'Mẫu task'!$B$5:$B$64,$A10)</f>
        <v>7</v>
      </c>
      <c r="I10" s="14" t="n">
        <f aca="false">COUNTIFS('Mẫu task'!$B$5:$B$64,$A10)</f>
        <v>2</v>
      </c>
    </row>
    <row r="11" customFormat="false" ht="15" hidden="false" customHeight="false" outlineLevel="0" collapsed="false">
      <c r="A11" s="14" t="n">
        <v>7</v>
      </c>
      <c r="B11" s="25" t="s">
        <v>206</v>
      </c>
      <c r="C11" s="25" t="s">
        <v>207</v>
      </c>
      <c r="D11" s="25" t="s">
        <v>208</v>
      </c>
      <c r="E11" s="25" t="s">
        <v>209</v>
      </c>
      <c r="F11" s="25" t="s">
        <v>210</v>
      </c>
      <c r="G11" s="25" t="s">
        <v>211</v>
      </c>
      <c r="H11" s="14" t="n">
        <f aca="false">SUMIFS('Mẫu task'!$H$5:$H$64,'Mẫu task'!$B$5:$B$64,$A11)</f>
        <v>27</v>
      </c>
      <c r="I11" s="14" t="n">
        <f aca="false">COUNTIFS('Mẫu task'!$B$5:$B$64,$A11)</f>
        <v>4</v>
      </c>
    </row>
    <row r="12" customFormat="false" ht="23.85" hidden="false" customHeight="false" outlineLevel="0" collapsed="false">
      <c r="A12" s="14" t="n">
        <v>8</v>
      </c>
      <c r="B12" s="25" t="s">
        <v>212</v>
      </c>
      <c r="C12" s="25" t="s">
        <v>213</v>
      </c>
      <c r="D12" s="25" t="s">
        <v>214</v>
      </c>
      <c r="E12" s="25" t="s">
        <v>215</v>
      </c>
      <c r="F12" s="25" t="s">
        <v>216</v>
      </c>
      <c r="G12" s="25" t="s">
        <v>217</v>
      </c>
      <c r="H12" s="14" t="n">
        <f aca="false">SUMIFS('Mẫu task'!$H$5:$H$64,'Mẫu task'!$B$5:$B$64,$A12)</f>
        <v>58</v>
      </c>
      <c r="I12" s="14" t="n">
        <f aca="false">COUNTIFS('Mẫu task'!$B$5:$B$64,$A12)</f>
        <v>7</v>
      </c>
    </row>
    <row r="14" customFormat="false" ht="15" hidden="false" customHeight="false" outlineLevel="0" collapsed="false">
      <c r="A14" s="34" t="s">
        <v>218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24"/>
    <col collapsed="false" customWidth="true" hidden="false" outlineLevel="0" max="4" min="4" style="0" width="48"/>
    <col collapsed="false" customWidth="true" hidden="false" outlineLevel="0" max="5" min="5" style="0" width="44"/>
    <col collapsed="false" customWidth="true" hidden="false" outlineLevel="0" max="6" min="6" style="0" width="30"/>
    <col collapsed="false" customWidth="true" hidden="false" outlineLevel="0" max="7" min="7" style="0" width="16"/>
    <col collapsed="false" customWidth="true" hidden="false" outlineLevel="0" max="8" min="8" style="0" width="11"/>
  </cols>
  <sheetData>
    <row r="1" customFormat="false" ht="17.35" hidden="false" customHeight="false" outlineLevel="0" collapsed="false">
      <c r="A1" s="1" t="s">
        <v>219</v>
      </c>
    </row>
    <row r="2" customFormat="false" ht="15" hidden="false" customHeight="false" outlineLevel="0" collapsed="false">
      <c r="A2" s="2" t="s">
        <v>220</v>
      </c>
    </row>
    <row r="4" customFormat="false" ht="15" hidden="false" customHeight="false" outlineLevel="0" collapsed="false">
      <c r="A4" s="13" t="s">
        <v>221</v>
      </c>
      <c r="B4" s="13" t="s">
        <v>84</v>
      </c>
      <c r="C4" s="13" t="s">
        <v>85</v>
      </c>
      <c r="D4" s="13" t="s">
        <v>86</v>
      </c>
      <c r="E4" s="13" t="s">
        <v>222</v>
      </c>
      <c r="F4" s="13" t="s">
        <v>168</v>
      </c>
      <c r="G4" s="13" t="s">
        <v>223</v>
      </c>
      <c r="H4" s="13" t="s">
        <v>89</v>
      </c>
    </row>
    <row r="5" customFormat="false" ht="23.85" hidden="false" customHeight="false" outlineLevel="0" collapsed="false">
      <c r="A5" s="22" t="s">
        <v>97</v>
      </c>
      <c r="B5" s="22" t="n">
        <v>1</v>
      </c>
      <c r="C5" s="23" t="str">
        <f aca="false">IF($B5="","",IFERROR(INDEX('Quy trình'!$B$5:$B$12,MATCH($B5,'Quy trình'!$A$5:$A$12,0)),""))</f>
        <v>Sourcing</v>
      </c>
      <c r="D5" s="25" t="s">
        <v>224</v>
      </c>
      <c r="E5" s="25" t="s">
        <v>225</v>
      </c>
      <c r="F5" s="25" t="s">
        <v>226</v>
      </c>
      <c r="G5" s="19" t="s">
        <v>77</v>
      </c>
      <c r="H5" s="22" t="n">
        <v>5</v>
      </c>
    </row>
    <row r="6" customFormat="false" ht="15" hidden="false" customHeight="false" outlineLevel="0" collapsed="false">
      <c r="A6" s="22" t="s">
        <v>99</v>
      </c>
      <c r="B6" s="22" t="n">
        <v>1</v>
      </c>
      <c r="C6" s="23" t="str">
        <f aca="false">IF($B6="","",IFERROR(INDEX('Quy trình'!$B$5:$B$12,MATCH($B6,'Quy trình'!$A$5:$A$12,0)),""))</f>
        <v>Sourcing</v>
      </c>
      <c r="D6" s="25" t="s">
        <v>227</v>
      </c>
      <c r="E6" s="25" t="s">
        <v>228</v>
      </c>
      <c r="F6" s="25" t="s">
        <v>229</v>
      </c>
      <c r="G6" s="19" t="s">
        <v>77</v>
      </c>
      <c r="H6" s="22" t="n">
        <v>3</v>
      </c>
    </row>
    <row r="7" customFormat="false" ht="15" hidden="false" customHeight="false" outlineLevel="0" collapsed="false">
      <c r="A7" s="22" t="s">
        <v>100</v>
      </c>
      <c r="B7" s="22" t="n">
        <v>1</v>
      </c>
      <c r="C7" s="23" t="str">
        <f aca="false">IF($B7="","",IFERROR(INDEX('Quy trình'!$B$5:$B$12,MATCH($B7,'Quy trình'!$A$5:$A$12,0)),""))</f>
        <v>Sourcing</v>
      </c>
      <c r="D7" s="25" t="s">
        <v>230</v>
      </c>
      <c r="E7" s="25" t="s">
        <v>231</v>
      </c>
      <c r="F7" s="25" t="s">
        <v>232</v>
      </c>
      <c r="G7" s="19" t="s">
        <v>77</v>
      </c>
      <c r="H7" s="22" t="n">
        <v>7</v>
      </c>
    </row>
    <row r="8" customFormat="false" ht="15" hidden="false" customHeight="false" outlineLevel="0" collapsed="false">
      <c r="A8" s="22" t="s">
        <v>101</v>
      </c>
      <c r="B8" s="22" t="n">
        <v>1</v>
      </c>
      <c r="C8" s="23" t="str">
        <f aca="false">IF($B8="","",IFERROR(INDEX('Quy trình'!$B$5:$B$12,MATCH($B8,'Quy trình'!$A$5:$A$12,0)),""))</f>
        <v>Sourcing</v>
      </c>
      <c r="D8" s="25" t="s">
        <v>233</v>
      </c>
      <c r="E8" s="25" t="s">
        <v>232</v>
      </c>
      <c r="F8" s="25" t="s">
        <v>177</v>
      </c>
      <c r="G8" s="19" t="s">
        <v>77</v>
      </c>
      <c r="H8" s="22" t="n">
        <v>2</v>
      </c>
    </row>
    <row r="9" customFormat="false" ht="15" hidden="false" customHeight="false" outlineLevel="0" collapsed="false">
      <c r="A9" s="22" t="s">
        <v>102</v>
      </c>
      <c r="B9" s="22" t="n">
        <v>2</v>
      </c>
      <c r="C9" s="23" t="str">
        <f aca="false">IF($B9="","",IFERROR(INDEX('Quy trình'!$B$5:$B$12,MATCH($B9,'Quy trình'!$A$5:$A$12,0)),""))</f>
        <v>Approach</v>
      </c>
      <c r="D9" s="25" t="s">
        <v>234</v>
      </c>
      <c r="E9" s="25" t="s">
        <v>235</v>
      </c>
      <c r="F9" s="25" t="s">
        <v>236</v>
      </c>
      <c r="G9" s="19" t="s">
        <v>77</v>
      </c>
      <c r="H9" s="22" t="n">
        <v>5</v>
      </c>
    </row>
    <row r="10" customFormat="false" ht="15" hidden="false" customHeight="false" outlineLevel="0" collapsed="false">
      <c r="A10" s="22" t="s">
        <v>103</v>
      </c>
      <c r="B10" s="22" t="n">
        <v>2</v>
      </c>
      <c r="C10" s="23" t="str">
        <f aca="false">IF($B10="","",IFERROR(INDEX('Quy trình'!$B$5:$B$12,MATCH($B10,'Quy trình'!$A$5:$A$12,0)),""))</f>
        <v>Approach</v>
      </c>
      <c r="D10" s="25" t="s">
        <v>237</v>
      </c>
      <c r="E10" s="25" t="s">
        <v>238</v>
      </c>
      <c r="F10" s="25" t="s">
        <v>239</v>
      </c>
      <c r="G10" s="19" t="s">
        <v>77</v>
      </c>
      <c r="H10" s="22" t="n">
        <v>3</v>
      </c>
    </row>
    <row r="11" customFormat="false" ht="15" hidden="false" customHeight="false" outlineLevel="0" collapsed="false">
      <c r="A11" s="22" t="s">
        <v>104</v>
      </c>
      <c r="B11" s="22" t="n">
        <v>2</v>
      </c>
      <c r="C11" s="23" t="str">
        <f aca="false">IF($B11="","",IFERROR(INDEX('Quy trình'!$B$5:$B$12,MATCH($B11,'Quy trình'!$A$5:$A$12,0)),""))</f>
        <v>Approach</v>
      </c>
      <c r="D11" s="25" t="s">
        <v>240</v>
      </c>
      <c r="E11" s="25" t="s">
        <v>241</v>
      </c>
      <c r="F11" s="25" t="s">
        <v>242</v>
      </c>
      <c r="G11" s="19" t="s">
        <v>77</v>
      </c>
      <c r="H11" s="22" t="n">
        <v>3</v>
      </c>
    </row>
    <row r="12" customFormat="false" ht="15" hidden="false" customHeight="false" outlineLevel="0" collapsed="false">
      <c r="A12" s="22" t="s">
        <v>105</v>
      </c>
      <c r="B12" s="22" t="n">
        <v>2</v>
      </c>
      <c r="C12" s="23" t="str">
        <f aca="false">IF($B12="","",IFERROR(INDEX('Quy trình'!$B$5:$B$12,MATCH($B12,'Quy trình'!$A$5:$A$12,0)),""))</f>
        <v>Approach</v>
      </c>
      <c r="D12" s="25" t="s">
        <v>243</v>
      </c>
      <c r="E12" s="25" t="s">
        <v>242</v>
      </c>
      <c r="F12" s="25" t="s">
        <v>244</v>
      </c>
      <c r="G12" s="19" t="s">
        <v>77</v>
      </c>
      <c r="H12" s="22" t="n">
        <v>5</v>
      </c>
    </row>
    <row r="13" customFormat="false" ht="15" hidden="false" customHeight="false" outlineLevel="0" collapsed="false">
      <c r="A13" s="22" t="s">
        <v>106</v>
      </c>
      <c r="B13" s="22" t="n">
        <v>3</v>
      </c>
      <c r="C13" s="23" t="str">
        <f aca="false">IF($B13="","",IFERROR(INDEX('Quy trình'!$B$5:$B$12,MATCH($B13,'Quy trình'!$A$5:$A$12,0)),""))</f>
        <v>NDA</v>
      </c>
      <c r="D13" s="25" t="s">
        <v>245</v>
      </c>
      <c r="E13" s="25" t="s">
        <v>246</v>
      </c>
      <c r="F13" s="25" t="s">
        <v>247</v>
      </c>
      <c r="G13" s="19" t="s">
        <v>107</v>
      </c>
      <c r="H13" s="22" t="n">
        <v>3</v>
      </c>
    </row>
    <row r="14" customFormat="false" ht="15" hidden="false" customHeight="false" outlineLevel="0" collapsed="false">
      <c r="A14" s="22" t="s">
        <v>108</v>
      </c>
      <c r="B14" s="22" t="n">
        <v>3</v>
      </c>
      <c r="C14" s="23" t="str">
        <f aca="false">IF($B14="","",IFERROR(INDEX('Quy trình'!$B$5:$B$12,MATCH($B14,'Quy trình'!$A$5:$A$12,0)),""))</f>
        <v>NDA</v>
      </c>
      <c r="D14" s="25" t="s">
        <v>248</v>
      </c>
      <c r="E14" s="25" t="s">
        <v>249</v>
      </c>
      <c r="F14" s="25" t="s">
        <v>250</v>
      </c>
      <c r="G14" s="19" t="s">
        <v>107</v>
      </c>
      <c r="H14" s="22" t="n">
        <v>5</v>
      </c>
    </row>
    <row r="15" customFormat="false" ht="15" hidden="false" customHeight="false" outlineLevel="0" collapsed="false">
      <c r="A15" s="22" t="s">
        <v>109</v>
      </c>
      <c r="B15" s="22" t="n">
        <v>3</v>
      </c>
      <c r="C15" s="23" t="str">
        <f aca="false">IF($B15="","",IFERROR(INDEX('Quy trình'!$B$5:$B$12,MATCH($B15,'Quy trình'!$A$5:$A$12,0)),""))</f>
        <v>NDA</v>
      </c>
      <c r="D15" s="25" t="s">
        <v>251</v>
      </c>
      <c r="E15" s="25" t="s">
        <v>252</v>
      </c>
      <c r="F15" s="25" t="s">
        <v>187</v>
      </c>
      <c r="G15" s="19" t="s">
        <v>107</v>
      </c>
      <c r="H15" s="22" t="n">
        <v>3</v>
      </c>
    </row>
    <row r="16" customFormat="false" ht="15" hidden="false" customHeight="false" outlineLevel="0" collapsed="false">
      <c r="A16" s="22" t="s">
        <v>110</v>
      </c>
      <c r="B16" s="22" t="n">
        <v>4</v>
      </c>
      <c r="C16" s="23" t="str">
        <f aca="false">IF($B16="","",IFERROR(INDEX('Quy trình'!$B$5:$B$12,MATCH($B16,'Quy trình'!$A$5:$A$12,0)),""))</f>
        <v>Hồ sơ của partner (A)</v>
      </c>
      <c r="D16" s="25" t="s">
        <v>253</v>
      </c>
      <c r="E16" s="25" t="s">
        <v>187</v>
      </c>
      <c r="F16" s="25" t="s">
        <v>254</v>
      </c>
      <c r="G16" s="19" t="s">
        <v>77</v>
      </c>
      <c r="H16" s="22" t="n">
        <v>5</v>
      </c>
    </row>
    <row r="17" customFormat="false" ht="15" hidden="false" customHeight="false" outlineLevel="0" collapsed="false">
      <c r="A17" s="22" t="s">
        <v>111</v>
      </c>
      <c r="B17" s="22" t="n">
        <v>4</v>
      </c>
      <c r="C17" s="23" t="str">
        <f aca="false">IF($B17="","",IFERROR(INDEX('Quy trình'!$B$5:$B$12,MATCH($B17,'Quy trình'!$A$5:$A$12,0)),""))</f>
        <v>Hồ sơ của partner (A)</v>
      </c>
      <c r="D17" s="25" t="s">
        <v>255</v>
      </c>
      <c r="E17" s="25" t="s">
        <v>187</v>
      </c>
      <c r="F17" s="25" t="s">
        <v>256</v>
      </c>
      <c r="G17" s="19" t="s">
        <v>77</v>
      </c>
      <c r="H17" s="22" t="n">
        <v>5</v>
      </c>
    </row>
    <row r="18" customFormat="false" ht="15" hidden="false" customHeight="false" outlineLevel="0" collapsed="false">
      <c r="A18" s="22" t="s">
        <v>112</v>
      </c>
      <c r="B18" s="22" t="n">
        <v>4</v>
      </c>
      <c r="C18" s="23" t="str">
        <f aca="false">IF($B18="","",IFERROR(INDEX('Quy trình'!$B$5:$B$12,MATCH($B18,'Quy trình'!$A$5:$A$12,0)),""))</f>
        <v>Hồ sơ của partner (A)</v>
      </c>
      <c r="D18" s="25" t="s">
        <v>257</v>
      </c>
      <c r="E18" s="25" t="s">
        <v>187</v>
      </c>
      <c r="F18" s="25" t="s">
        <v>258</v>
      </c>
      <c r="G18" s="19" t="s">
        <v>77</v>
      </c>
      <c r="H18" s="22" t="n">
        <v>5</v>
      </c>
    </row>
    <row r="19" customFormat="false" ht="15" hidden="false" customHeight="false" outlineLevel="0" collapsed="false">
      <c r="A19" s="22" t="s">
        <v>114</v>
      </c>
      <c r="B19" s="22" t="n">
        <v>4</v>
      </c>
      <c r="C19" s="23" t="str">
        <f aca="false">IF($B19="","",IFERROR(INDEX('Quy trình'!$B$5:$B$12,MATCH($B19,'Quy trình'!$A$5:$A$12,0)),""))</f>
        <v>Hồ sơ của partner (A)</v>
      </c>
      <c r="D19" s="25" t="s">
        <v>259</v>
      </c>
      <c r="E19" s="25" t="s">
        <v>187</v>
      </c>
      <c r="F19" s="25" t="s">
        <v>260</v>
      </c>
      <c r="G19" s="19" t="s">
        <v>77</v>
      </c>
      <c r="H19" s="22" t="n">
        <v>7</v>
      </c>
    </row>
    <row r="20" customFormat="false" ht="15" hidden="false" customHeight="false" outlineLevel="0" collapsed="false">
      <c r="A20" s="22" t="s">
        <v>116</v>
      </c>
      <c r="B20" s="22" t="n">
        <v>4</v>
      </c>
      <c r="C20" s="23" t="str">
        <f aca="false">IF($B20="","",IFERROR(INDEX('Quy trình'!$B$5:$B$12,MATCH($B20,'Quy trình'!$A$5:$A$12,0)),""))</f>
        <v>Hồ sơ của partner (A)</v>
      </c>
      <c r="D20" s="25" t="s">
        <v>261</v>
      </c>
      <c r="E20" s="25" t="s">
        <v>262</v>
      </c>
      <c r="F20" s="25" t="s">
        <v>263</v>
      </c>
      <c r="G20" s="19" t="s">
        <v>77</v>
      </c>
      <c r="H20" s="22" t="n">
        <v>3</v>
      </c>
    </row>
    <row r="21" customFormat="false" ht="23.85" hidden="false" customHeight="false" outlineLevel="0" collapsed="false">
      <c r="A21" s="22" t="s">
        <v>117</v>
      </c>
      <c r="B21" s="22" t="n">
        <v>5</v>
      </c>
      <c r="C21" s="23" t="str">
        <f aca="false">IF($B21="","",IFERROR(INDEX('Quy trình'!$B$5:$B$12,MATCH($B21,'Quy trình'!$A$5:$A$12,0)),""))</f>
        <v>Tech meeting</v>
      </c>
      <c r="D21" s="25" t="s">
        <v>264</v>
      </c>
      <c r="E21" s="25" t="s">
        <v>265</v>
      </c>
      <c r="F21" s="25" t="s">
        <v>266</v>
      </c>
      <c r="G21" s="19" t="s">
        <v>118</v>
      </c>
      <c r="H21" s="22" t="n">
        <v>3</v>
      </c>
    </row>
    <row r="22" customFormat="false" ht="15" hidden="false" customHeight="false" outlineLevel="0" collapsed="false">
      <c r="A22" s="22" t="s">
        <v>119</v>
      </c>
      <c r="B22" s="22" t="n">
        <v>5</v>
      </c>
      <c r="C22" s="23" t="str">
        <f aca="false">IF($B22="","",IFERROR(INDEX('Quy trình'!$B$5:$B$12,MATCH($B22,'Quy trình'!$A$5:$A$12,0)),""))</f>
        <v>Tech meeting</v>
      </c>
      <c r="D22" s="25" t="s">
        <v>267</v>
      </c>
      <c r="E22" s="25" t="s">
        <v>268</v>
      </c>
      <c r="F22" s="25" t="s">
        <v>269</v>
      </c>
      <c r="G22" s="19" t="s">
        <v>120</v>
      </c>
      <c r="H22" s="22" t="n">
        <v>3</v>
      </c>
    </row>
    <row r="23" customFormat="false" ht="15" hidden="false" customHeight="false" outlineLevel="0" collapsed="false">
      <c r="A23" s="22" t="s">
        <v>121</v>
      </c>
      <c r="B23" s="22" t="n">
        <v>5</v>
      </c>
      <c r="C23" s="23" t="str">
        <f aca="false">IF($B23="","",IFERROR(INDEX('Quy trình'!$B$5:$B$12,MATCH($B23,'Quy trình'!$A$5:$A$12,0)),""))</f>
        <v>Tech meeting</v>
      </c>
      <c r="D23" s="25" t="s">
        <v>270</v>
      </c>
      <c r="E23" s="25" t="s">
        <v>271</v>
      </c>
      <c r="F23" s="25" t="s">
        <v>272</v>
      </c>
      <c r="G23" s="19" t="s">
        <v>118</v>
      </c>
      <c r="H23" s="22" t="n">
        <v>3</v>
      </c>
    </row>
    <row r="24" customFormat="false" ht="15" hidden="false" customHeight="false" outlineLevel="0" collapsed="false">
      <c r="A24" s="22" t="s">
        <v>122</v>
      </c>
      <c r="B24" s="22" t="n">
        <v>5</v>
      </c>
      <c r="C24" s="23" t="str">
        <f aca="false">IF($B24="","",IFERROR(INDEX('Quy trình'!$B$5:$B$12,MATCH($B24,'Quy trình'!$A$5:$A$12,0)),""))</f>
        <v>Tech meeting</v>
      </c>
      <c r="D24" s="25" t="s">
        <v>273</v>
      </c>
      <c r="E24" s="25" t="s">
        <v>274</v>
      </c>
      <c r="F24" s="25" t="s">
        <v>275</v>
      </c>
      <c r="G24" s="19" t="s">
        <v>118</v>
      </c>
      <c r="H24" s="22" t="n">
        <v>2</v>
      </c>
    </row>
    <row r="25" customFormat="false" ht="15" hidden="false" customHeight="false" outlineLevel="0" collapsed="false">
      <c r="A25" s="22" t="s">
        <v>123</v>
      </c>
      <c r="B25" s="22" t="n">
        <v>5</v>
      </c>
      <c r="C25" s="23" t="str">
        <f aca="false">IF($B25="","",IFERROR(INDEX('Quy trình'!$B$5:$B$12,MATCH($B25,'Quy trình'!$A$5:$A$12,0)),""))</f>
        <v>Tech meeting</v>
      </c>
      <c r="D25" s="25" t="s">
        <v>276</v>
      </c>
      <c r="E25" s="25" t="s">
        <v>275</v>
      </c>
      <c r="F25" s="25" t="s">
        <v>277</v>
      </c>
      <c r="G25" s="19" t="s">
        <v>118</v>
      </c>
      <c r="H25" s="22" t="n">
        <v>2</v>
      </c>
    </row>
    <row r="26" customFormat="false" ht="15" hidden="false" customHeight="false" outlineLevel="0" collapsed="false">
      <c r="A26" s="22" t="s">
        <v>124</v>
      </c>
      <c r="B26" s="22" t="n">
        <v>6</v>
      </c>
      <c r="C26" s="23" t="str">
        <f aca="false">IF($B26="","",IFERROR(INDEX('Quy trình'!$B$5:$B$12,MATCH($B26,'Quy trình'!$A$5:$A$12,0)),""))</f>
        <v>Quyết định / duyệt (giả định)</v>
      </c>
      <c r="D26" s="25" t="s">
        <v>278</v>
      </c>
      <c r="E26" s="25" t="s">
        <v>55</v>
      </c>
      <c r="F26" s="25" t="s">
        <v>279</v>
      </c>
      <c r="G26" s="19" t="s">
        <v>77</v>
      </c>
      <c r="H26" s="22" t="n">
        <v>5</v>
      </c>
    </row>
    <row r="27" customFormat="false" ht="15" hidden="false" customHeight="false" outlineLevel="0" collapsed="false">
      <c r="A27" s="22" t="s">
        <v>125</v>
      </c>
      <c r="B27" s="22" t="n">
        <v>6</v>
      </c>
      <c r="C27" s="23" t="str">
        <f aca="false">IF($B27="","",IFERROR(INDEX('Quy trình'!$B$5:$B$12,MATCH($B27,'Quy trình'!$A$5:$A$12,0)),""))</f>
        <v>Quyết định / duyệt (giả định)</v>
      </c>
      <c r="D27" s="25" t="s">
        <v>280</v>
      </c>
      <c r="E27" s="25" t="s">
        <v>281</v>
      </c>
      <c r="F27" s="25" t="s">
        <v>282</v>
      </c>
      <c r="G27" s="19" t="s">
        <v>77</v>
      </c>
      <c r="H27" s="22" t="n">
        <v>2</v>
      </c>
    </row>
    <row r="28" customFormat="false" ht="15" hidden="false" customHeight="false" outlineLevel="0" collapsed="false">
      <c r="A28" s="22" t="s">
        <v>126</v>
      </c>
      <c r="B28" s="22" t="n">
        <v>7</v>
      </c>
      <c r="C28" s="23" t="str">
        <f aca="false">IF($B28="","",IFERROR(INDEX('Quy trình'!$B$5:$B$12,MATCH($B28,'Quy trình'!$A$5:$A$12,0)),""))</f>
        <v>MOA</v>
      </c>
      <c r="D28" s="25" t="s">
        <v>283</v>
      </c>
      <c r="E28" s="25" t="s">
        <v>284</v>
      </c>
      <c r="F28" s="25" t="s">
        <v>285</v>
      </c>
      <c r="G28" s="19" t="s">
        <v>77</v>
      </c>
      <c r="H28" s="22" t="n">
        <v>7</v>
      </c>
    </row>
    <row r="29" customFormat="false" ht="15" hidden="false" customHeight="false" outlineLevel="0" collapsed="false">
      <c r="A29" s="22" t="s">
        <v>127</v>
      </c>
      <c r="B29" s="22" t="n">
        <v>7</v>
      </c>
      <c r="C29" s="23" t="str">
        <f aca="false">IF($B29="","",IFERROR(INDEX('Quy trình'!$B$5:$B$12,MATCH($B29,'Quy trình'!$A$5:$A$12,0)),""))</f>
        <v>MOA</v>
      </c>
      <c r="D29" s="25" t="s">
        <v>286</v>
      </c>
      <c r="E29" s="25" t="s">
        <v>287</v>
      </c>
      <c r="F29" s="25" t="s">
        <v>288</v>
      </c>
      <c r="G29" s="19" t="s">
        <v>107</v>
      </c>
      <c r="H29" s="22" t="n">
        <v>5</v>
      </c>
    </row>
    <row r="30" customFormat="false" ht="15" hidden="false" customHeight="false" outlineLevel="0" collapsed="false">
      <c r="A30" s="22" t="s">
        <v>128</v>
      </c>
      <c r="B30" s="22" t="n">
        <v>7</v>
      </c>
      <c r="C30" s="23" t="str">
        <f aca="false">IF($B30="","",IFERROR(INDEX('Quy trình'!$B$5:$B$12,MATCH($B30,'Quy trình'!$A$5:$A$12,0)),""))</f>
        <v>MOA</v>
      </c>
      <c r="D30" s="25" t="s">
        <v>289</v>
      </c>
      <c r="E30" s="25" t="s">
        <v>288</v>
      </c>
      <c r="F30" s="25" t="s">
        <v>290</v>
      </c>
      <c r="G30" s="19" t="s">
        <v>107</v>
      </c>
      <c r="H30" s="22" t="n">
        <v>5</v>
      </c>
    </row>
    <row r="31" customFormat="false" ht="15" hidden="false" customHeight="false" outlineLevel="0" collapsed="false">
      <c r="A31" s="22" t="s">
        <v>129</v>
      </c>
      <c r="B31" s="22" t="n">
        <v>7</v>
      </c>
      <c r="C31" s="23" t="str">
        <f aca="false">IF($B31="","",IFERROR(INDEX('Quy trình'!$B$5:$B$12,MATCH($B31,'Quy trình'!$A$5:$A$12,0)),""))</f>
        <v>MOA</v>
      </c>
      <c r="D31" s="25" t="s">
        <v>291</v>
      </c>
      <c r="E31" s="25" t="s">
        <v>292</v>
      </c>
      <c r="F31" s="25" t="s">
        <v>209</v>
      </c>
      <c r="G31" s="19" t="s">
        <v>77</v>
      </c>
      <c r="H31" s="22" t="n">
        <v>10</v>
      </c>
    </row>
    <row r="32" customFormat="false" ht="15" hidden="false" customHeight="false" outlineLevel="0" collapsed="false">
      <c r="A32" s="22" t="s">
        <v>130</v>
      </c>
      <c r="B32" s="22" t="n">
        <v>8</v>
      </c>
      <c r="C32" s="23" t="str">
        <f aca="false">IF($B32="","",IFERROR(INDEX('Quy trình'!$B$5:$B$12,MATCH($B32,'Quy trình'!$A$5:$A$12,0)),""))</f>
        <v>Sau ký: vận hành liên tục</v>
      </c>
      <c r="D32" s="25" t="s">
        <v>293</v>
      </c>
      <c r="E32" s="25" t="s">
        <v>294</v>
      </c>
      <c r="F32" s="25" t="s">
        <v>295</v>
      </c>
      <c r="G32" s="19" t="s">
        <v>131</v>
      </c>
      <c r="H32" s="22" t="n">
        <v>5</v>
      </c>
    </row>
    <row r="33" customFormat="false" ht="15" hidden="false" customHeight="false" outlineLevel="0" collapsed="false">
      <c r="A33" s="22" t="s">
        <v>132</v>
      </c>
      <c r="B33" s="22" t="n">
        <v>8</v>
      </c>
      <c r="C33" s="23" t="str">
        <f aca="false">IF($B33="","",IFERROR(INDEX('Quy trình'!$B$5:$B$12,MATCH($B33,'Quy trình'!$A$5:$A$12,0)),""))</f>
        <v>Sau ký: vận hành liên tục</v>
      </c>
      <c r="D33" s="25" t="s">
        <v>296</v>
      </c>
      <c r="E33" s="25" t="s">
        <v>297</v>
      </c>
      <c r="F33" s="25" t="s">
        <v>298</v>
      </c>
      <c r="G33" s="19" t="s">
        <v>131</v>
      </c>
      <c r="H33" s="22" t="n">
        <v>5</v>
      </c>
    </row>
    <row r="34" customFormat="false" ht="15" hidden="false" customHeight="false" outlineLevel="0" collapsed="false">
      <c r="A34" s="22" t="s">
        <v>133</v>
      </c>
      <c r="B34" s="22" t="n">
        <v>8</v>
      </c>
      <c r="C34" s="23" t="str">
        <f aca="false">IF($B34="","",IFERROR(INDEX('Quy trình'!$B$5:$B$12,MATCH($B34,'Quy trình'!$A$5:$A$12,0)),""))</f>
        <v>Sau ký: vận hành liên tục</v>
      </c>
      <c r="D34" s="25" t="s">
        <v>299</v>
      </c>
      <c r="E34" s="25" t="s">
        <v>300</v>
      </c>
      <c r="F34" s="25" t="s">
        <v>301</v>
      </c>
      <c r="G34" s="19" t="s">
        <v>134</v>
      </c>
      <c r="H34" s="22" t="n">
        <v>10</v>
      </c>
    </row>
    <row r="35" customFormat="false" ht="15" hidden="false" customHeight="false" outlineLevel="0" collapsed="false">
      <c r="A35" s="22" t="s">
        <v>135</v>
      </c>
      <c r="B35" s="22" t="n">
        <v>8</v>
      </c>
      <c r="C35" s="23" t="str">
        <f aca="false">IF($B35="","",IFERROR(INDEX('Quy trình'!$B$5:$B$12,MATCH($B35,'Quy trình'!$A$5:$A$12,0)),""))</f>
        <v>Sau ký: vận hành liên tục</v>
      </c>
      <c r="D35" s="25" t="s">
        <v>302</v>
      </c>
      <c r="E35" s="25" t="s">
        <v>303</v>
      </c>
      <c r="F35" s="25" t="s">
        <v>304</v>
      </c>
      <c r="G35" s="19" t="s">
        <v>136</v>
      </c>
      <c r="H35" s="22" t="n">
        <v>7</v>
      </c>
    </row>
    <row r="36" customFormat="false" ht="15" hidden="false" customHeight="false" outlineLevel="0" collapsed="false">
      <c r="A36" s="22" t="s">
        <v>137</v>
      </c>
      <c r="B36" s="22" t="n">
        <v>8</v>
      </c>
      <c r="C36" s="23" t="str">
        <f aca="false">IF($B36="","",IFERROR(INDEX('Quy trình'!$B$5:$B$12,MATCH($B36,'Quy trình'!$A$5:$A$12,0)),""))</f>
        <v>Sau ký: vận hành liên tục</v>
      </c>
      <c r="D36" s="25" t="s">
        <v>305</v>
      </c>
      <c r="E36" s="25" t="s">
        <v>306</v>
      </c>
      <c r="F36" s="25" t="s">
        <v>307</v>
      </c>
      <c r="G36" s="19" t="s">
        <v>136</v>
      </c>
      <c r="H36" s="22" t="n">
        <v>10</v>
      </c>
    </row>
    <row r="37" customFormat="false" ht="15" hidden="false" customHeight="false" outlineLevel="0" collapsed="false">
      <c r="A37" s="22" t="s">
        <v>138</v>
      </c>
      <c r="B37" s="22" t="n">
        <v>8</v>
      </c>
      <c r="C37" s="23" t="str">
        <f aca="false">IF($B37="","",IFERROR(INDEX('Quy trình'!$B$5:$B$12,MATCH($B37,'Quy trình'!$A$5:$A$12,0)),""))</f>
        <v>Sau ký: vận hành liên tục</v>
      </c>
      <c r="D37" s="25" t="s">
        <v>308</v>
      </c>
      <c r="E37" s="25" t="s">
        <v>309</v>
      </c>
      <c r="F37" s="25" t="s">
        <v>310</v>
      </c>
      <c r="G37" s="19" t="s">
        <v>77</v>
      </c>
      <c r="H37" s="22" t="n">
        <v>14</v>
      </c>
    </row>
    <row r="38" customFormat="false" ht="15" hidden="false" customHeight="false" outlineLevel="0" collapsed="false">
      <c r="A38" s="22" t="s">
        <v>139</v>
      </c>
      <c r="B38" s="22" t="n">
        <v>8</v>
      </c>
      <c r="C38" s="23" t="str">
        <f aca="false">IF($B38="","",IFERROR(INDEX('Quy trình'!$B$5:$B$12,MATCH($B38,'Quy trình'!$A$5:$A$12,0)),""))</f>
        <v>Sau ký: vận hành liên tục</v>
      </c>
      <c r="D38" s="25" t="s">
        <v>311</v>
      </c>
      <c r="E38" s="25" t="s">
        <v>312</v>
      </c>
      <c r="F38" s="25" t="s">
        <v>313</v>
      </c>
      <c r="G38" s="19" t="s">
        <v>77</v>
      </c>
      <c r="H38" s="22" t="n">
        <v>7</v>
      </c>
    </row>
    <row r="39" customFormat="false" ht="15" hidden="false" customHeight="false" outlineLevel="0" collapsed="false">
      <c r="A39" s="22"/>
      <c r="B39" s="22"/>
      <c r="C39" s="23" t="str">
        <f aca="false">IF($B39="","",IFERROR(INDEX('Quy trình'!$B$5:$B$12,MATCH($B39,'Quy trình'!$A$5:$A$12,0)),""))</f>
        <v/>
      </c>
      <c r="D39" s="25"/>
      <c r="E39" s="25"/>
      <c r="F39" s="25"/>
      <c r="G39" s="19"/>
      <c r="H39" s="22"/>
    </row>
    <row r="40" customFormat="false" ht="15" hidden="false" customHeight="false" outlineLevel="0" collapsed="false">
      <c r="A40" s="22"/>
      <c r="B40" s="22"/>
      <c r="C40" s="23" t="str">
        <f aca="false">IF($B40="","",IFERROR(INDEX('Quy trình'!$B$5:$B$12,MATCH($B40,'Quy trình'!$A$5:$A$12,0)),""))</f>
        <v/>
      </c>
      <c r="D40" s="25"/>
      <c r="E40" s="25"/>
      <c r="F40" s="25"/>
      <c r="G40" s="19"/>
      <c r="H40" s="22"/>
    </row>
    <row r="41" customFormat="false" ht="15" hidden="false" customHeight="false" outlineLevel="0" collapsed="false">
      <c r="A41" s="22"/>
      <c r="B41" s="22"/>
      <c r="C41" s="23" t="str">
        <f aca="false">IF($B41="","",IFERROR(INDEX('Quy trình'!$B$5:$B$12,MATCH($B41,'Quy trình'!$A$5:$A$12,0)),""))</f>
        <v/>
      </c>
      <c r="D41" s="25"/>
      <c r="E41" s="25"/>
      <c r="F41" s="25"/>
      <c r="G41" s="19"/>
      <c r="H41" s="22"/>
    </row>
    <row r="42" customFormat="false" ht="15" hidden="false" customHeight="false" outlineLevel="0" collapsed="false">
      <c r="A42" s="22"/>
      <c r="B42" s="22"/>
      <c r="C42" s="23" t="str">
        <f aca="false">IF($B42="","",IFERROR(INDEX('Quy trình'!$B$5:$B$12,MATCH($B42,'Quy trình'!$A$5:$A$12,0)),""))</f>
        <v/>
      </c>
      <c r="D42" s="25"/>
      <c r="E42" s="25"/>
      <c r="F42" s="25"/>
      <c r="G42" s="19"/>
      <c r="H42" s="22"/>
    </row>
    <row r="43" customFormat="false" ht="15" hidden="false" customHeight="false" outlineLevel="0" collapsed="false">
      <c r="A43" s="22"/>
      <c r="B43" s="22"/>
      <c r="C43" s="23" t="str">
        <f aca="false">IF($B43="","",IFERROR(INDEX('Quy trình'!$B$5:$B$12,MATCH($B43,'Quy trình'!$A$5:$A$12,0)),""))</f>
        <v/>
      </c>
      <c r="D43" s="25"/>
      <c r="E43" s="25"/>
      <c r="F43" s="25"/>
      <c r="G43" s="19"/>
      <c r="H43" s="22"/>
    </row>
    <row r="44" customFormat="false" ht="15" hidden="false" customHeight="false" outlineLevel="0" collapsed="false">
      <c r="A44" s="22"/>
      <c r="B44" s="22"/>
      <c r="C44" s="23" t="str">
        <f aca="false">IF($B44="","",IFERROR(INDEX('Quy trình'!$B$5:$B$12,MATCH($B44,'Quy trình'!$A$5:$A$12,0)),""))</f>
        <v/>
      </c>
      <c r="D44" s="25"/>
      <c r="E44" s="25"/>
      <c r="F44" s="25"/>
      <c r="G44" s="19"/>
      <c r="H44" s="22"/>
    </row>
    <row r="45" customFormat="false" ht="15" hidden="false" customHeight="false" outlineLevel="0" collapsed="false">
      <c r="A45" s="22"/>
      <c r="B45" s="22"/>
      <c r="C45" s="23" t="str">
        <f aca="false">IF($B45="","",IFERROR(INDEX('Quy trình'!$B$5:$B$12,MATCH($B45,'Quy trình'!$A$5:$A$12,0)),""))</f>
        <v/>
      </c>
      <c r="D45" s="25"/>
      <c r="E45" s="25"/>
      <c r="F45" s="25"/>
      <c r="G45" s="19"/>
      <c r="H45" s="22"/>
    </row>
    <row r="46" customFormat="false" ht="15" hidden="false" customHeight="false" outlineLevel="0" collapsed="false">
      <c r="A46" s="22"/>
      <c r="B46" s="22"/>
      <c r="C46" s="23" t="str">
        <f aca="false">IF($B46="","",IFERROR(INDEX('Quy trình'!$B$5:$B$12,MATCH($B46,'Quy trình'!$A$5:$A$12,0)),""))</f>
        <v/>
      </c>
      <c r="D46" s="25"/>
      <c r="E46" s="25"/>
      <c r="F46" s="25"/>
      <c r="G46" s="19"/>
      <c r="H46" s="22"/>
    </row>
    <row r="47" customFormat="false" ht="15" hidden="false" customHeight="false" outlineLevel="0" collapsed="false">
      <c r="A47" s="22"/>
      <c r="B47" s="22"/>
      <c r="C47" s="23" t="str">
        <f aca="false">IF($B47="","",IFERROR(INDEX('Quy trình'!$B$5:$B$12,MATCH($B47,'Quy trình'!$A$5:$A$12,0)),""))</f>
        <v/>
      </c>
      <c r="D47" s="25"/>
      <c r="E47" s="25"/>
      <c r="F47" s="25"/>
      <c r="G47" s="19"/>
      <c r="H47" s="22"/>
    </row>
    <row r="48" customFormat="false" ht="15" hidden="false" customHeight="false" outlineLevel="0" collapsed="false">
      <c r="A48" s="22"/>
      <c r="B48" s="22"/>
      <c r="C48" s="23" t="str">
        <f aca="false">IF($B48="","",IFERROR(INDEX('Quy trình'!$B$5:$B$12,MATCH($B48,'Quy trình'!$A$5:$A$12,0)),""))</f>
        <v/>
      </c>
      <c r="D48" s="25"/>
      <c r="E48" s="25"/>
      <c r="F48" s="25"/>
      <c r="G48" s="19"/>
      <c r="H48" s="22"/>
    </row>
    <row r="49" customFormat="false" ht="15" hidden="false" customHeight="false" outlineLevel="0" collapsed="false">
      <c r="A49" s="22"/>
      <c r="B49" s="22"/>
      <c r="C49" s="23" t="str">
        <f aca="false">IF($B49="","",IFERROR(INDEX('Quy trình'!$B$5:$B$12,MATCH($B49,'Quy trình'!$A$5:$A$12,0)),""))</f>
        <v/>
      </c>
      <c r="D49" s="25"/>
      <c r="E49" s="25"/>
      <c r="F49" s="25"/>
      <c r="G49" s="19"/>
      <c r="H49" s="22"/>
    </row>
    <row r="50" customFormat="false" ht="15" hidden="false" customHeight="false" outlineLevel="0" collapsed="false">
      <c r="A50" s="22"/>
      <c r="B50" s="22"/>
      <c r="C50" s="23" t="str">
        <f aca="false">IF($B50="","",IFERROR(INDEX('Quy trình'!$B$5:$B$12,MATCH($B50,'Quy trình'!$A$5:$A$12,0)),""))</f>
        <v/>
      </c>
      <c r="D50" s="25"/>
      <c r="E50" s="25"/>
      <c r="F50" s="25"/>
      <c r="G50" s="19"/>
      <c r="H50" s="22"/>
    </row>
    <row r="51" customFormat="false" ht="15" hidden="false" customHeight="false" outlineLevel="0" collapsed="false">
      <c r="A51" s="22"/>
      <c r="B51" s="22"/>
      <c r="C51" s="23" t="str">
        <f aca="false">IF($B51="","",IFERROR(INDEX('Quy trình'!$B$5:$B$12,MATCH($B51,'Quy trình'!$A$5:$A$12,0)),""))</f>
        <v/>
      </c>
      <c r="D51" s="25"/>
      <c r="E51" s="25"/>
      <c r="F51" s="25"/>
      <c r="G51" s="19"/>
      <c r="H51" s="22"/>
    </row>
    <row r="52" customFormat="false" ht="15" hidden="false" customHeight="false" outlineLevel="0" collapsed="false">
      <c r="A52" s="22"/>
      <c r="B52" s="22"/>
      <c r="C52" s="23" t="str">
        <f aca="false">IF($B52="","",IFERROR(INDEX('Quy trình'!$B$5:$B$12,MATCH($B52,'Quy trình'!$A$5:$A$12,0)),""))</f>
        <v/>
      </c>
      <c r="D52" s="25"/>
      <c r="E52" s="25"/>
      <c r="F52" s="25"/>
      <c r="G52" s="19"/>
      <c r="H52" s="22"/>
    </row>
    <row r="53" customFormat="false" ht="15" hidden="false" customHeight="false" outlineLevel="0" collapsed="false">
      <c r="A53" s="22"/>
      <c r="B53" s="22"/>
      <c r="C53" s="23" t="str">
        <f aca="false">IF($B53="","",IFERROR(INDEX('Quy trình'!$B$5:$B$12,MATCH($B53,'Quy trình'!$A$5:$A$12,0)),""))</f>
        <v/>
      </c>
      <c r="D53" s="25"/>
      <c r="E53" s="25"/>
      <c r="F53" s="25"/>
      <c r="G53" s="19"/>
      <c r="H53" s="22"/>
    </row>
    <row r="54" customFormat="false" ht="15" hidden="false" customHeight="false" outlineLevel="0" collapsed="false">
      <c r="A54" s="22"/>
      <c r="B54" s="22"/>
      <c r="C54" s="23" t="str">
        <f aca="false">IF($B54="","",IFERROR(INDEX('Quy trình'!$B$5:$B$12,MATCH($B54,'Quy trình'!$A$5:$A$12,0)),""))</f>
        <v/>
      </c>
      <c r="D54" s="25"/>
      <c r="E54" s="25"/>
      <c r="F54" s="25"/>
      <c r="G54" s="19"/>
      <c r="H54" s="22"/>
    </row>
    <row r="55" customFormat="false" ht="15" hidden="false" customHeight="false" outlineLevel="0" collapsed="false">
      <c r="A55" s="22"/>
      <c r="B55" s="22"/>
      <c r="C55" s="23" t="str">
        <f aca="false">IF($B55="","",IFERROR(INDEX('Quy trình'!$B$5:$B$12,MATCH($B55,'Quy trình'!$A$5:$A$12,0)),""))</f>
        <v/>
      </c>
      <c r="D55" s="25"/>
      <c r="E55" s="25"/>
      <c r="F55" s="25"/>
      <c r="G55" s="19"/>
      <c r="H55" s="22"/>
    </row>
    <row r="56" customFormat="false" ht="15" hidden="false" customHeight="false" outlineLevel="0" collapsed="false">
      <c r="A56" s="22"/>
      <c r="B56" s="22"/>
      <c r="C56" s="23" t="str">
        <f aca="false">IF($B56="","",IFERROR(INDEX('Quy trình'!$B$5:$B$12,MATCH($B56,'Quy trình'!$A$5:$A$12,0)),""))</f>
        <v/>
      </c>
      <c r="D56" s="25"/>
      <c r="E56" s="25"/>
      <c r="F56" s="25"/>
      <c r="G56" s="19"/>
      <c r="H56" s="22"/>
    </row>
    <row r="57" customFormat="false" ht="15" hidden="false" customHeight="false" outlineLevel="0" collapsed="false">
      <c r="A57" s="22"/>
      <c r="B57" s="22"/>
      <c r="C57" s="23" t="str">
        <f aca="false">IF($B57="","",IFERROR(INDEX('Quy trình'!$B$5:$B$12,MATCH($B57,'Quy trình'!$A$5:$A$12,0)),""))</f>
        <v/>
      </c>
      <c r="D57" s="25"/>
      <c r="E57" s="25"/>
      <c r="F57" s="25"/>
      <c r="G57" s="19"/>
      <c r="H57" s="22"/>
    </row>
    <row r="58" customFormat="false" ht="15" hidden="false" customHeight="false" outlineLevel="0" collapsed="false">
      <c r="A58" s="22"/>
      <c r="B58" s="22"/>
      <c r="C58" s="23" t="str">
        <f aca="false">IF($B58="","",IFERROR(INDEX('Quy trình'!$B$5:$B$12,MATCH($B58,'Quy trình'!$A$5:$A$12,0)),""))</f>
        <v/>
      </c>
      <c r="D58" s="25"/>
      <c r="E58" s="25"/>
      <c r="F58" s="25"/>
      <c r="G58" s="19"/>
      <c r="H58" s="22"/>
    </row>
    <row r="59" customFormat="false" ht="15" hidden="false" customHeight="false" outlineLevel="0" collapsed="false">
      <c r="A59" s="22"/>
      <c r="B59" s="22"/>
      <c r="C59" s="23" t="str">
        <f aca="false">IF($B59="","",IFERROR(INDEX('Quy trình'!$B$5:$B$12,MATCH($B59,'Quy trình'!$A$5:$A$12,0)),""))</f>
        <v/>
      </c>
      <c r="D59" s="25"/>
      <c r="E59" s="25"/>
      <c r="F59" s="25"/>
      <c r="G59" s="19"/>
      <c r="H59" s="22"/>
    </row>
    <row r="60" customFormat="false" ht="15" hidden="false" customHeight="false" outlineLevel="0" collapsed="false">
      <c r="A60" s="22"/>
      <c r="B60" s="22"/>
      <c r="C60" s="23" t="str">
        <f aca="false">IF($B60="","",IFERROR(INDEX('Quy trình'!$B$5:$B$12,MATCH($B60,'Quy trình'!$A$5:$A$12,0)),""))</f>
        <v/>
      </c>
      <c r="D60" s="25"/>
      <c r="E60" s="25"/>
      <c r="F60" s="25"/>
      <c r="G60" s="19"/>
      <c r="H60" s="22"/>
    </row>
    <row r="61" customFormat="false" ht="15" hidden="false" customHeight="false" outlineLevel="0" collapsed="false">
      <c r="A61" s="22"/>
      <c r="B61" s="22"/>
      <c r="C61" s="23" t="str">
        <f aca="false">IF($B61="","",IFERROR(INDEX('Quy trình'!$B$5:$B$12,MATCH($B61,'Quy trình'!$A$5:$A$12,0)),""))</f>
        <v/>
      </c>
      <c r="D61" s="25"/>
      <c r="E61" s="25"/>
      <c r="F61" s="25"/>
      <c r="G61" s="19"/>
      <c r="H61" s="22"/>
    </row>
    <row r="62" customFormat="false" ht="15" hidden="false" customHeight="false" outlineLevel="0" collapsed="false">
      <c r="A62" s="22"/>
      <c r="B62" s="22"/>
      <c r="C62" s="23" t="str">
        <f aca="false">IF($B62="","",IFERROR(INDEX('Quy trình'!$B$5:$B$12,MATCH($B62,'Quy trình'!$A$5:$A$12,0)),""))</f>
        <v/>
      </c>
      <c r="D62" s="25"/>
      <c r="E62" s="25"/>
      <c r="F62" s="25"/>
      <c r="G62" s="19"/>
      <c r="H62" s="22"/>
    </row>
    <row r="63" customFormat="false" ht="15" hidden="false" customHeight="false" outlineLevel="0" collapsed="false">
      <c r="A63" s="22"/>
      <c r="B63" s="22"/>
      <c r="C63" s="23" t="str">
        <f aca="false">IF($B63="","",IFERROR(INDEX('Quy trình'!$B$5:$B$12,MATCH($B63,'Quy trình'!$A$5:$A$12,0)),""))</f>
        <v/>
      </c>
      <c r="D63" s="25"/>
      <c r="E63" s="25"/>
      <c r="F63" s="25"/>
      <c r="G63" s="19"/>
      <c r="H63" s="22"/>
    </row>
    <row r="64" customFormat="false" ht="15" hidden="false" customHeight="false" outlineLevel="0" collapsed="false">
      <c r="A64" s="22"/>
      <c r="B64" s="22"/>
      <c r="C64" s="23" t="str">
        <f aca="false">IF($B64="","",IFERROR(INDEX('Quy trình'!$B$5:$B$12,MATCH($B64,'Quy trình'!$A$5:$A$12,0)),""))</f>
        <v/>
      </c>
      <c r="D64" s="25"/>
      <c r="E64" s="25"/>
      <c r="F64" s="25"/>
      <c r="G64" s="19"/>
      <c r="H64" s="2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0"/>
    <col collapsed="false" customWidth="true" hidden="false" outlineLevel="0" max="3" min="3" style="0" width="7"/>
    <col collapsed="false" customWidth="true" hidden="false" outlineLevel="0" max="4" min="4" style="0" width="18"/>
    <col collapsed="false" customWidth="true" hidden="false" outlineLevel="0" max="6" min="5" style="0" width="12"/>
    <col collapsed="false" customWidth="true" hidden="false" outlineLevel="0" max="7" min="7" style="0" width="40"/>
    <col collapsed="false" customWidth="true" hidden="false" outlineLevel="0" max="8" min="8" style="0" width="3"/>
    <col collapsed="false" customWidth="true" hidden="false" outlineLevel="0" max="9" min="9" style="0" width="10"/>
    <col collapsed="false" customWidth="true" hidden="false" outlineLevel="0" max="10" min="10" style="0" width="6"/>
  </cols>
  <sheetData>
    <row r="1" customFormat="false" ht="17.35" hidden="false" customHeight="false" outlineLevel="0" collapsed="false">
      <c r="A1" s="1" t="s">
        <v>314</v>
      </c>
    </row>
    <row r="2" customFormat="false" ht="15" hidden="false" customHeight="false" outlineLevel="0" collapsed="false">
      <c r="A2" s="2" t="s">
        <v>315</v>
      </c>
    </row>
    <row r="4" customFormat="false" ht="15" hidden="false" customHeight="false" outlineLevel="0" collapsed="false">
      <c r="A4" s="13" t="s">
        <v>41</v>
      </c>
      <c r="B4" s="13" t="s">
        <v>316</v>
      </c>
      <c r="C4" s="13" t="s">
        <v>42</v>
      </c>
      <c r="D4" s="13" t="s">
        <v>317</v>
      </c>
      <c r="E4" s="13" t="s">
        <v>90</v>
      </c>
      <c r="F4" s="13" t="s">
        <v>91</v>
      </c>
      <c r="G4" s="13" t="s">
        <v>318</v>
      </c>
      <c r="I4" s="36" t="s">
        <v>319</v>
      </c>
      <c r="J4" s="36" t="n">
        <f aca="false">COUNTIF(F5:F40,"Mở")+COUNTIF(F5:F40,"Đang bàn")</f>
        <v>12</v>
      </c>
    </row>
    <row r="5" customFormat="false" ht="15" hidden="false" customHeight="false" outlineLevel="0" collapsed="false">
      <c r="A5" s="14" t="n">
        <v>1</v>
      </c>
      <c r="B5" s="25" t="s">
        <v>320</v>
      </c>
      <c r="C5" s="22" t="n">
        <v>1</v>
      </c>
      <c r="D5" s="19"/>
      <c r="E5" s="20"/>
      <c r="F5" s="22" t="s">
        <v>321</v>
      </c>
      <c r="G5" s="25"/>
    </row>
    <row r="6" customFormat="false" ht="15" hidden="false" customHeight="false" outlineLevel="0" collapsed="false">
      <c r="A6" s="14" t="n">
        <v>2</v>
      </c>
      <c r="B6" s="25" t="s">
        <v>322</v>
      </c>
      <c r="C6" s="22" t="n">
        <v>1</v>
      </c>
      <c r="D6" s="19"/>
      <c r="E6" s="20"/>
      <c r="F6" s="22" t="s">
        <v>321</v>
      </c>
      <c r="G6" s="25"/>
    </row>
    <row r="7" customFormat="false" ht="15" hidden="false" customHeight="false" outlineLevel="0" collapsed="false">
      <c r="A7" s="14" t="n">
        <v>3</v>
      </c>
      <c r="B7" s="25" t="s">
        <v>323</v>
      </c>
      <c r="C7" s="22" t="n">
        <v>2</v>
      </c>
      <c r="D7" s="19"/>
      <c r="E7" s="20"/>
      <c r="F7" s="22" t="s">
        <v>321</v>
      </c>
      <c r="G7" s="25"/>
    </row>
    <row r="8" customFormat="false" ht="15" hidden="false" customHeight="false" outlineLevel="0" collapsed="false">
      <c r="A8" s="14" t="n">
        <v>4</v>
      </c>
      <c r="B8" s="25" t="s">
        <v>324</v>
      </c>
      <c r="C8" s="22" t="n">
        <v>5</v>
      </c>
      <c r="D8" s="19"/>
      <c r="E8" s="20"/>
      <c r="F8" s="22" t="s">
        <v>321</v>
      </c>
      <c r="G8" s="25"/>
    </row>
    <row r="9" customFormat="false" ht="15" hidden="false" customHeight="false" outlineLevel="0" collapsed="false">
      <c r="A9" s="14" t="n">
        <v>5</v>
      </c>
      <c r="B9" s="25" t="s">
        <v>325</v>
      </c>
      <c r="C9" s="22" t="n">
        <v>5</v>
      </c>
      <c r="D9" s="19"/>
      <c r="E9" s="20"/>
      <c r="F9" s="22" t="s">
        <v>321</v>
      </c>
      <c r="G9" s="25"/>
    </row>
    <row r="10" customFormat="false" ht="15" hidden="false" customHeight="false" outlineLevel="0" collapsed="false">
      <c r="A10" s="14" t="n">
        <v>6</v>
      </c>
      <c r="B10" s="25" t="s">
        <v>326</v>
      </c>
      <c r="C10" s="22" t="n">
        <v>5</v>
      </c>
      <c r="D10" s="19"/>
      <c r="E10" s="20"/>
      <c r="F10" s="22" t="s">
        <v>321</v>
      </c>
      <c r="G10" s="25"/>
    </row>
    <row r="11" customFormat="false" ht="15" hidden="false" customHeight="false" outlineLevel="0" collapsed="false">
      <c r="A11" s="14" t="n">
        <v>7</v>
      </c>
      <c r="B11" s="25" t="s">
        <v>327</v>
      </c>
      <c r="C11" s="22" t="n">
        <v>6</v>
      </c>
      <c r="D11" s="19"/>
      <c r="E11" s="20"/>
      <c r="F11" s="22" t="s">
        <v>321</v>
      </c>
      <c r="G11" s="25"/>
    </row>
    <row r="12" customFormat="false" ht="15" hidden="false" customHeight="false" outlineLevel="0" collapsed="false">
      <c r="A12" s="14" t="n">
        <v>8</v>
      </c>
      <c r="B12" s="25" t="s">
        <v>328</v>
      </c>
      <c r="C12" s="22" t="n">
        <v>7</v>
      </c>
      <c r="D12" s="19"/>
      <c r="E12" s="20"/>
      <c r="F12" s="22" t="s">
        <v>321</v>
      </c>
      <c r="G12" s="25"/>
    </row>
    <row r="13" customFormat="false" ht="15" hidden="false" customHeight="false" outlineLevel="0" collapsed="false">
      <c r="A13" s="14" t="n">
        <v>9</v>
      </c>
      <c r="B13" s="25" t="s">
        <v>329</v>
      </c>
      <c r="C13" s="22" t="n">
        <v>8</v>
      </c>
      <c r="D13" s="19"/>
      <c r="E13" s="20"/>
      <c r="F13" s="22" t="s">
        <v>321</v>
      </c>
      <c r="G13" s="25"/>
    </row>
    <row r="14" customFormat="false" ht="15" hidden="false" customHeight="false" outlineLevel="0" collapsed="false">
      <c r="A14" s="14" t="n">
        <v>10</v>
      </c>
      <c r="B14" s="25" t="s">
        <v>330</v>
      </c>
      <c r="C14" s="22" t="n">
        <v>8</v>
      </c>
      <c r="D14" s="19"/>
      <c r="E14" s="20"/>
      <c r="F14" s="22" t="s">
        <v>321</v>
      </c>
      <c r="G14" s="25"/>
    </row>
    <row r="15" customFormat="false" ht="23.85" hidden="false" customHeight="false" outlineLevel="0" collapsed="false">
      <c r="A15" s="14" t="n">
        <v>11</v>
      </c>
      <c r="B15" s="25" t="s">
        <v>331</v>
      </c>
      <c r="C15" s="22" t="n">
        <v>8</v>
      </c>
      <c r="D15" s="19"/>
      <c r="E15" s="20"/>
      <c r="F15" s="22" t="s">
        <v>321</v>
      </c>
      <c r="G15" s="25"/>
    </row>
    <row r="16" customFormat="false" ht="15" hidden="false" customHeight="false" outlineLevel="0" collapsed="false">
      <c r="A16" s="14" t="n">
        <v>12</v>
      </c>
      <c r="B16" s="25" t="s">
        <v>332</v>
      </c>
      <c r="C16" s="22" t="n">
        <v>8</v>
      </c>
      <c r="D16" s="19"/>
      <c r="E16" s="20"/>
      <c r="F16" s="22" t="s">
        <v>321</v>
      </c>
      <c r="G16" s="25"/>
    </row>
    <row r="17" customFormat="false" ht="15" hidden="false" customHeight="false" outlineLevel="0" collapsed="false">
      <c r="A17" s="14"/>
      <c r="B17" s="25"/>
      <c r="C17" s="22"/>
      <c r="D17" s="19"/>
      <c r="E17" s="20"/>
      <c r="F17" s="22"/>
      <c r="G17" s="25"/>
    </row>
    <row r="18" customFormat="false" ht="15" hidden="false" customHeight="false" outlineLevel="0" collapsed="false">
      <c r="A18" s="14"/>
      <c r="B18" s="25"/>
      <c r="C18" s="22"/>
      <c r="D18" s="19"/>
      <c r="E18" s="20"/>
      <c r="F18" s="22"/>
      <c r="G18" s="25"/>
    </row>
    <row r="19" customFormat="false" ht="15" hidden="false" customHeight="false" outlineLevel="0" collapsed="false">
      <c r="A19" s="14"/>
      <c r="B19" s="25"/>
      <c r="C19" s="22"/>
      <c r="D19" s="19"/>
      <c r="E19" s="20"/>
      <c r="F19" s="22"/>
      <c r="G19" s="25"/>
    </row>
    <row r="20" customFormat="false" ht="15" hidden="false" customHeight="false" outlineLevel="0" collapsed="false">
      <c r="A20" s="14"/>
      <c r="B20" s="25"/>
      <c r="C20" s="22"/>
      <c r="D20" s="19"/>
      <c r="E20" s="20"/>
      <c r="F20" s="22"/>
      <c r="G20" s="25"/>
    </row>
    <row r="21" customFormat="false" ht="15" hidden="false" customHeight="false" outlineLevel="0" collapsed="false">
      <c r="A21" s="14"/>
      <c r="B21" s="25"/>
      <c r="C21" s="22"/>
      <c r="D21" s="19"/>
      <c r="E21" s="20"/>
      <c r="F21" s="22"/>
      <c r="G21" s="25"/>
    </row>
    <row r="22" customFormat="false" ht="15" hidden="false" customHeight="false" outlineLevel="0" collapsed="false">
      <c r="A22" s="14"/>
      <c r="B22" s="25"/>
      <c r="C22" s="22"/>
      <c r="D22" s="19"/>
      <c r="E22" s="20"/>
      <c r="F22" s="22"/>
      <c r="G22" s="25"/>
    </row>
    <row r="23" customFormat="false" ht="15" hidden="false" customHeight="false" outlineLevel="0" collapsed="false">
      <c r="A23" s="14"/>
      <c r="B23" s="25"/>
      <c r="C23" s="22"/>
      <c r="D23" s="19"/>
      <c r="E23" s="20"/>
      <c r="F23" s="22"/>
      <c r="G23" s="25"/>
    </row>
    <row r="24" customFormat="false" ht="15" hidden="false" customHeight="false" outlineLevel="0" collapsed="false">
      <c r="A24" s="14"/>
      <c r="B24" s="25"/>
      <c r="C24" s="22"/>
      <c r="D24" s="19"/>
      <c r="E24" s="20"/>
      <c r="F24" s="22"/>
      <c r="G24" s="25"/>
    </row>
    <row r="25" customFormat="false" ht="15" hidden="false" customHeight="false" outlineLevel="0" collapsed="false">
      <c r="A25" s="14"/>
      <c r="B25" s="25"/>
      <c r="C25" s="22"/>
      <c r="D25" s="19"/>
      <c r="E25" s="20"/>
      <c r="F25" s="22"/>
      <c r="G25" s="25"/>
    </row>
    <row r="26" customFormat="false" ht="15" hidden="false" customHeight="false" outlineLevel="0" collapsed="false">
      <c r="A26" s="14"/>
      <c r="B26" s="25"/>
      <c r="C26" s="22"/>
      <c r="D26" s="19"/>
      <c r="E26" s="20"/>
      <c r="F26" s="22"/>
      <c r="G26" s="25"/>
    </row>
    <row r="27" customFormat="false" ht="15" hidden="false" customHeight="false" outlineLevel="0" collapsed="false">
      <c r="A27" s="14"/>
      <c r="B27" s="25"/>
      <c r="C27" s="22"/>
      <c r="D27" s="19"/>
      <c r="E27" s="20"/>
      <c r="F27" s="22"/>
      <c r="G27" s="25"/>
    </row>
    <row r="28" customFormat="false" ht="15" hidden="false" customHeight="false" outlineLevel="0" collapsed="false">
      <c r="A28" s="14"/>
      <c r="B28" s="25"/>
      <c r="C28" s="22"/>
      <c r="D28" s="19"/>
      <c r="E28" s="20"/>
      <c r="F28" s="22"/>
      <c r="G28" s="25"/>
    </row>
    <row r="29" customFormat="false" ht="15" hidden="false" customHeight="false" outlineLevel="0" collapsed="false">
      <c r="A29" s="14"/>
      <c r="B29" s="25"/>
      <c r="C29" s="22"/>
      <c r="D29" s="19"/>
      <c r="E29" s="20"/>
      <c r="F29" s="22"/>
      <c r="G29" s="25"/>
    </row>
    <row r="30" customFormat="false" ht="15" hidden="false" customHeight="false" outlineLevel="0" collapsed="false">
      <c r="A30" s="14"/>
      <c r="B30" s="25"/>
      <c r="C30" s="22"/>
      <c r="D30" s="19"/>
      <c r="E30" s="20"/>
      <c r="F30" s="22"/>
      <c r="G30" s="25"/>
    </row>
    <row r="31" customFormat="false" ht="15" hidden="false" customHeight="false" outlineLevel="0" collapsed="false">
      <c r="A31" s="14"/>
      <c r="B31" s="25"/>
      <c r="C31" s="22"/>
      <c r="D31" s="19"/>
      <c r="E31" s="20"/>
      <c r="F31" s="22"/>
      <c r="G31" s="25"/>
    </row>
    <row r="32" customFormat="false" ht="15" hidden="false" customHeight="false" outlineLevel="0" collapsed="false">
      <c r="A32" s="14"/>
      <c r="B32" s="25"/>
      <c r="C32" s="22"/>
      <c r="D32" s="19"/>
      <c r="E32" s="20"/>
      <c r="F32" s="22"/>
      <c r="G32" s="25"/>
    </row>
    <row r="33" customFormat="false" ht="15" hidden="false" customHeight="false" outlineLevel="0" collapsed="false">
      <c r="A33" s="14"/>
      <c r="B33" s="25"/>
      <c r="C33" s="22"/>
      <c r="D33" s="19"/>
      <c r="E33" s="20"/>
      <c r="F33" s="22"/>
      <c r="G33" s="25"/>
    </row>
    <row r="34" customFormat="false" ht="15" hidden="false" customHeight="false" outlineLevel="0" collapsed="false">
      <c r="A34" s="14"/>
      <c r="B34" s="25"/>
      <c r="C34" s="22"/>
      <c r="D34" s="19"/>
      <c r="E34" s="20"/>
      <c r="F34" s="22"/>
      <c r="G34" s="25"/>
    </row>
    <row r="35" customFormat="false" ht="15" hidden="false" customHeight="false" outlineLevel="0" collapsed="false">
      <c r="A35" s="14"/>
      <c r="B35" s="25"/>
      <c r="C35" s="22"/>
      <c r="D35" s="19"/>
      <c r="E35" s="20"/>
      <c r="F35" s="22"/>
      <c r="G35" s="25"/>
    </row>
    <row r="36" customFormat="false" ht="15" hidden="false" customHeight="false" outlineLevel="0" collapsed="false">
      <c r="A36" s="14"/>
      <c r="B36" s="25"/>
      <c r="C36" s="22"/>
      <c r="D36" s="19"/>
      <c r="E36" s="20"/>
      <c r="F36" s="22"/>
      <c r="G36" s="25"/>
    </row>
    <row r="37" customFormat="false" ht="15" hidden="false" customHeight="false" outlineLevel="0" collapsed="false">
      <c r="A37" s="14"/>
      <c r="B37" s="25"/>
      <c r="C37" s="22"/>
      <c r="D37" s="19"/>
      <c r="E37" s="20"/>
      <c r="F37" s="22"/>
      <c r="G37" s="25"/>
    </row>
    <row r="38" customFormat="false" ht="15" hidden="false" customHeight="false" outlineLevel="0" collapsed="false">
      <c r="A38" s="14"/>
      <c r="B38" s="25"/>
      <c r="C38" s="22"/>
      <c r="D38" s="19"/>
      <c r="E38" s="20"/>
      <c r="F38" s="22"/>
      <c r="G38" s="25"/>
    </row>
    <row r="39" customFormat="false" ht="15" hidden="false" customHeight="false" outlineLevel="0" collapsed="false">
      <c r="A39" s="14"/>
      <c r="B39" s="25"/>
      <c r="C39" s="22"/>
      <c r="D39" s="19"/>
      <c r="E39" s="20"/>
      <c r="F39" s="22"/>
      <c r="G39" s="25"/>
    </row>
    <row r="40" customFormat="false" ht="15" hidden="false" customHeight="false" outlineLevel="0" collapsed="false">
      <c r="A40" s="14"/>
      <c r="B40" s="25"/>
      <c r="C40" s="22"/>
      <c r="D40" s="19"/>
      <c r="E40" s="20"/>
      <c r="F40" s="22"/>
      <c r="G40" s="25"/>
    </row>
  </sheetData>
  <conditionalFormatting sqref="F5:F40">
    <cfRule type="cellIs" priority="2" operator="equal" aboveAverage="0" equalAverage="0" bottom="0" percent="0" rank="0" text="" dxfId="0">
      <formula>"Đã chốt"</formula>
    </cfRule>
    <cfRule type="cellIs" priority="3" operator="equal" aboveAverage="0" equalAverage="0" bottom="0" percent="0" rank="0" text="" dxfId="2">
      <formula>"Mở"</formula>
    </cfRule>
  </conditionalFormatting>
  <dataValidations count="1">
    <dataValidation allowBlank="true" errorStyle="stop" operator="between" showDropDown="false" showErrorMessage="false" showInputMessage="false" sqref="F5:F40" type="list">
      <formula1>"Mở,Đang bàn,Đã chốt"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2026-10-30T07:10:38Z</dcterms:created>
  <dc:creator>openpyxl</dc:creator>
  <dc:description/>
  <dc:language>en-US</dc:language>
  <cp:lastModifiedBy/>
  <dcterms:modified xsi:type="dcterms:W3CDTF">2026-10-30T07:10:40Z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