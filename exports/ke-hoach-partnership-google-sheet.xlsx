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V-Tech Hub" sheetId="2" state="visible" r:id="rId4"/>
    <sheet name="Mảng ngoài Hub" sheetId="3" state="visible" r:id="rId5"/>
    <sheet name="Theo dõi partner" sheetId="4" state="visible" r:id="rId6"/>
    <sheet name="Sổ đối tác toàn công ty" sheetId="5" state="visible" r:id="rId7"/>
    <sheet name="Nhịp làm việc" sheetId="6" state="visible" r:id="rId8"/>
  </sheets>
  <definedNames>
    <definedName function="false" hidden="true" localSheetId="4" name="_xlnm._FilterDatabase" vbProcedure="false">'Sổ đối tác toàn công ty'!$A$4:$J$34</definedName>
    <definedName function="false" hidden="true" localSheetId="3" name="_xlnm._FilterDatabase" vbProcedure="false">'Theo dõi partner'!$A$4:$O$105</definedName>
    <definedName function="false" hidden="true" localSheetId="1" name="_xlnm._FilterDatabase" vbProcedure="false">'V-Tech Hub'!$A$4:$L$24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<sst xmlns="http://schemas.openxmlformats.org/spreadsheetml/2006/main" count="314" uniqueCount="211">
  <si>
    <t xml:space="preserve">Kế hoạch phòng Partnership: tổng quan</t>
  </si>
  <si>
    <t xml:space="preserve">Ngày bắt đầu kế hoạch</t>
  </si>
  <si>
    <t xml:space="preserve">Nhập ngày lãnh đạo phê duyệt; hạn của các đầu việc ở sheet V-Tech Hub tính từ ngày này.</t>
  </si>
  <si>
    <t xml:space="preserve">Tiến độ V-Tech Hub</t>
  </si>
  <si>
    <t xml:space="preserve">Số việc</t>
  </si>
  <si>
    <t xml:space="preserve">Trụ cột</t>
  </si>
  <si>
    <t xml:space="preserve">Tổng việc</t>
  </si>
  <si>
    <t xml:space="preserve">Hoàn thành</t>
  </si>
  <si>
    <t xml:space="preserve">Tỷ lệ</t>
  </si>
  <si>
    <t xml:space="preserve">Chưa bắt đầu</t>
  </si>
  <si>
    <t xml:space="preserve">1. Làm đầy sân</t>
  </si>
  <si>
    <t xml:space="preserve">Đang làm</t>
  </si>
  <si>
    <t xml:space="preserve">2. Đặt luật chơi</t>
  </si>
  <si>
    <t xml:space="preserve">3. Kéo người chơi vào</t>
  </si>
  <si>
    <t xml:space="preserve">Vướng</t>
  </si>
  <si>
    <t xml:space="preserve">4. Biến quan tâm thành giao dịch</t>
  </si>
  <si>
    <t xml:space="preserve">Tổng số việc</t>
  </si>
  <si>
    <t xml:space="preserve">5. Giữ sân sống</t>
  </si>
  <si>
    <t xml:space="preserve">Tỷ lệ hoàn thành</t>
  </si>
  <si>
    <t xml:space="preserve">Việc quá hạn</t>
  </si>
  <si>
    <t xml:space="preserve">Phễu partner</t>
  </si>
  <si>
    <t xml:space="preserve">Số partner</t>
  </si>
  <si>
    <t xml:space="preserve">Hạng partner</t>
  </si>
  <si>
    <t xml:space="preserve">1. Tìm</t>
  </si>
  <si>
    <t xml:space="preserve">Explorer</t>
  </si>
  <si>
    <t xml:space="preserve">2. Tiếp cận</t>
  </si>
  <si>
    <t xml:space="preserve">Certified</t>
  </si>
  <si>
    <t xml:space="preserve">3. Thẩm định</t>
  </si>
  <si>
    <t xml:space="preserve">Strategic</t>
  </si>
  <si>
    <t xml:space="preserve">4. Ký</t>
  </si>
  <si>
    <t xml:space="preserve">Partner có cảnh báo</t>
  </si>
  <si>
    <t xml:space="preserve">5. Onboarding</t>
  </si>
  <si>
    <t xml:space="preserve">6. Kích hoạt</t>
  </si>
  <si>
    <t xml:space="preserve">Việc khác</t>
  </si>
  <si>
    <t xml:space="preserve">Số lượng</t>
  </si>
  <si>
    <t xml:space="preserve">7. Tạo giá trị</t>
  </si>
  <si>
    <t xml:space="preserve">Việc định kỳ quá hạn</t>
  </si>
  <si>
    <t xml:space="preserve">8. Đánh giá</t>
  </si>
  <si>
    <t xml:space="preserve">Hợp đồng đối tác sắp hết hạn hoặc hết hạn</t>
  </si>
  <si>
    <t xml:space="preserve">Tổng partner đang theo dõi</t>
  </si>
  <si>
    <t xml:space="preserve">Mảng ngoài Hub chưa rõ phụ trách</t>
  </si>
  <si>
    <t xml:space="preserve">Cách dùng</t>
  </si>
  <si>
    <t xml:space="preserve">1. Nhập ngày bắt đầu ở ô B3. Ô vàng là ô bạn nhập; ô xám là công thức, đừng sửa.</t>
  </si>
  <si>
    <t xml:space="preserve">2. Sheet V-Tech Hub: cập nhật Trạng thái và Ngày hoàn thành mỗi khi xong việc; có thể sửa số ngày hạn.</t>
  </si>
  <si>
    <t xml:space="preserve">3. Sheet Theo dõi partner: mỗi partner một dòng, cập nhật Bước hiện tại và Việc tiếp theo; dòng 5 là dòng ví dụ, xóa khi nhập.</t>
  </si>
  <si>
    <t xml:space="preserve">4. Sheet Sổ đối tác toàn công ty: điền dần khi xác nhận hợp đồng; sáu dòng đầu lấy từ tên nêu trên trang Foundry, chưa xác nhận.</t>
  </si>
  <si>
    <t xml:space="preserve">5. Sheet Nhịp làm việc: ghi ngày làm lần gần nhất để biết khi nào đến hạn lần sau.</t>
  </si>
  <si>
    <t xml:space="preserve">6. Các mốc số ngày và danh sách đầu việc là đề xuất của kế hoạch, sửa theo mục tiêu lãnh đạo giao.</t>
  </si>
  <si>
    <t xml:space="preserve">V-Tech Hub: bảng đầu việc theo 5 trụ cột</t>
  </si>
  <si>
    <t xml:space="preserve">Ô vàng là ô bạn nhập (trạng thái, ngày hoàn thành, ghi chú, số ngày hạn). Cột xám là công thức, không sửa. Hạn dự kiến = Ngày bắt đầu (sheet Tổng quan) + số ngày ở cột G. Số ngày là đề xuất: tuần 1–2 = 14, tháng 1 = 30, tháng 2 = 60, tháng 3 = 90, tháng 4 = 120, tháng 6 = 180.</t>
  </si>
  <si>
    <t xml:space="preserve">#</t>
  </si>
  <si>
    <t xml:space="preserve">Đầu việc</t>
  </si>
  <si>
    <t xml:space="preserve">Đầu ra</t>
  </si>
  <si>
    <t xml:space="preserve">Phối hợp</t>
  </si>
  <si>
    <t xml:space="preserve">Ưu tiên</t>
  </si>
  <si>
    <t xml:space="preserve">Hạn (số ngày từ ngày bắt đầu)</t>
  </si>
  <si>
    <t xml:space="preserve">Hạn dự kiến</t>
  </si>
  <si>
    <t xml:space="preserve">Trạng thái</t>
  </si>
  <si>
    <t xml:space="preserve">Ngày hoàn thành</t>
  </si>
  <si>
    <t xml:space="preserve">Cảnh báo</t>
  </si>
  <si>
    <t xml:space="preserve">Ghi chú</t>
  </si>
  <si>
    <t xml:space="preserve">Lập sổ partner cho các giải pháp trên Hub (của VNETWORK hay partner nào, hợp đồng gì)</t>
  </si>
  <si>
    <t xml:space="preserve">Sổ partner</t>
  </si>
  <si>
    <t xml:space="preserve">Presales, Kinh doanh</t>
  </si>
  <si>
    <t xml:space="preserve">Cao</t>
  </si>
  <si>
    <t xml:space="preserve">Lập ma trận ngành × giải pháp để thấy chỗ trống</t>
  </si>
  <si>
    <t xml:space="preserve">Ma trận phủ</t>
  </si>
  <si>
    <t xml:space="preserve">Presales</t>
  </si>
  <si>
    <t xml:space="preserve">Chọn 20 partner mục tiêu, chấm điểm độ phù hợp với BFSI và tiếp cận</t>
  </si>
  <si>
    <t xml:space="preserve">Danh sách có chấm điểm</t>
  </si>
  <si>
    <t xml:space="preserve">Presales, Vtro</t>
  </si>
  <si>
    <t xml:space="preserve">Ký 3–5 design partner (technology và domain consultant)</t>
  </si>
  <si>
    <t xml:space="preserve">3–5 MOU đã ký</t>
  </si>
  <si>
    <t xml:space="preserve">Pháp lý</t>
  </si>
  <si>
    <t xml:space="preserve">Chốt với lãnh đạo: mô hình sân chơi, phạm vi phòng, mục tiêu 12 tháng, ngân sách, quyền ký</t>
  </si>
  <si>
    <t xml:space="preserve">Biên bản quyết định</t>
  </si>
  <si>
    <t xml:space="preserve">Lãnh đạo, Finance</t>
  </si>
  <si>
    <t xml:space="preserve">Viết Playbook v1: onboarding, kỹ thuật, thương mại, SLA, thương hiệu</t>
  </si>
  <si>
    <t xml:space="preserve">Playbook v1 được duyệt</t>
  </si>
  <si>
    <t xml:space="preserve">Pháp lý, Finance, SOC</t>
  </si>
  <si>
    <t xml:space="preserve">Thiết kế khung hạng (Explorer, Certified, Strategic) và hoa hồng</t>
  </si>
  <si>
    <t xml:space="preserve">Khung hạng và hoa hồng (tỷ lệ do Finance chốt)</t>
  </si>
  <si>
    <t xml:space="preserve">Finance, Kinh doanh</t>
  </si>
  <si>
    <t xml:space="preserve">Soạn mẫu MOU và quy tắc đăng ký deal</t>
  </si>
  <si>
    <t xml:space="preserve">Mẫu MOU; quy tắc deal</t>
  </si>
  <si>
    <t xml:space="preserve">Pháp lý, Kinh doanh</t>
  </si>
  <si>
    <t xml:space="preserve">Rà soát các tuyên bố trên site (tên bên thứ ba, số liệu) cùng Pháp lý và Marketing</t>
  </si>
  <si>
    <t xml:space="preserve">Danh sách tuyên bố đã xác nhận</t>
  </si>
  <si>
    <t xml:space="preserve">Pháp lý, Marketing</t>
  </si>
  <si>
    <t xml:space="preserve">Làm bộ hồ sơ partner và bổ sung hồ sơ chuyên gia (ảnh, bio)</t>
  </si>
  <si>
    <t xml:space="preserve">Partner kit; hồ sơ chuyên gia đủ</t>
  </si>
  <si>
    <t xml:space="preserve">Marketing, Vtro</t>
  </si>
  <si>
    <t xml:space="preserve">Trung bình</t>
  </si>
  <si>
    <t xml:space="preserve">Dựng trang "Trở thành đối tác" và quy trình thẩm định 90 ngày</t>
  </si>
  <si>
    <t xml:space="preserve">Trang, biểu mẫu, quy trình</t>
  </si>
  <si>
    <t xml:space="preserve">Marketing, IT</t>
  </si>
  <si>
    <t xml:space="preserve">Nối biểu mẫu liên hệ vào CRM, chỉ định người phản hồi trong 1 ngày làm việc</t>
  </si>
  <si>
    <t xml:space="preserve">Lead vào CRM, có SLA phản hồi</t>
  </si>
  <si>
    <t xml:space="preserve">Kinh doanh, IT</t>
  </si>
  <si>
    <t xml:space="preserve">Chạy 1 nội dung co-marketing đầu tiên cùng Vtro</t>
  </si>
  <si>
    <t xml:space="preserve">1 sự kiện hoặc nội dung</t>
  </si>
  <si>
    <t xml:space="preserve">Vtro, Marketing</t>
  </si>
  <si>
    <t xml:space="preserve">Viết quy trình PoC: môi trường, chi phí, thời hạn, tiêu chí thành công</t>
  </si>
  <si>
    <t xml:space="preserve">PoC playbook</t>
  </si>
  <si>
    <t xml:space="preserve">Presales, SOC</t>
  </si>
  <si>
    <t xml:space="preserve">Chạy 2–3 PoC thật với design partner</t>
  </si>
  <si>
    <t xml:space="preserve">Báo cáo PoC</t>
  </si>
  <si>
    <t xml:space="preserve">Presales, đội kỹ thuật</t>
  </si>
  <si>
    <t xml:space="preserve">Chốt 1–2 deal đầu tiên, đối soát hoa hồng đúng khung</t>
  </si>
  <si>
    <t xml:space="preserve">1–2 deal; bảng đối soát</t>
  </si>
  <si>
    <t xml:space="preserve">Kinh doanh, Finance</t>
  </si>
  <si>
    <t xml:space="preserve">Viết case study đầu tiên</t>
  </si>
  <si>
    <t xml:space="preserve">Case study được duyệt</t>
  </si>
  <si>
    <t xml:space="preserve">Marketing, Pháp lý</t>
  </si>
  <si>
    <t xml:space="preserve">Đánh giá Explorer lên Certified lần đầu; sửa chuẩn theo thực tế</t>
  </si>
  <si>
    <t xml:space="preserve">Báo cáo đánh giá; Playbook v1.1</t>
  </si>
  <si>
    <t xml:space="preserve">SOC, Pháp lý</t>
  </si>
  <si>
    <t xml:space="preserve">Báo cáo hằng quý cho lãnh đạo (partner hoạt động, pipeline, doanh thu, NPS)</t>
  </si>
  <si>
    <t xml:space="preserve">Báo cáo quý</t>
  </si>
  <si>
    <t xml:space="preserve">Finance</t>
  </si>
  <si>
    <t xml:space="preserve">Tuyển người thứ 2 (Partner Operations) khi có hơn 10 partner hoạt động</t>
  </si>
  <si>
    <t xml:space="preserve">Nhân sự mới</t>
  </si>
  <si>
    <t xml:space="preserve">HR, Lãnh đạo</t>
  </si>
  <si>
    <t xml:space="preserve">Các mảng ngoài V-Tech Hub</t>
  </si>
  <si>
    <t xml:space="preserve">Các mảng này là gợi ý, cần xác nhận phòng đang phụ trách mảng nào. Điền cột E và F rồi chuyển trạng thái. Việc đầu tiên cho tất cả: lập sổ quan hệ đối tác toàn công ty (sheet Sổ đối tác toàn công ty).</t>
  </si>
  <si>
    <t xml:space="preserve">Mảng</t>
  </si>
  <si>
    <t xml:space="preserve">Mục đích</t>
  </si>
  <si>
    <t xml:space="preserve">Đầu việc chính</t>
  </si>
  <si>
    <t xml:space="preserve">Phòng đang phụ trách?</t>
  </si>
  <si>
    <t xml:space="preserve">Người hoặc phòng phụ trách</t>
  </si>
  <si>
    <t xml:space="preserve">Kênh bán cho sản phẩm tự có (VCLOUD, CDN, bảo mật, email, SOC)</t>
  </si>
  <si>
    <t xml:space="preserve">Mở rộng doanh thu qua đại lý, reseller, SI</t>
  </si>
  <si>
    <t xml:space="preserve">Định nghĩa chương trình kênh, chiết khấu, đăng ký deal, đào tạo</t>
  </si>
  <si>
    <t xml:space="preserve">Chương trình kênh; số đại lý hoạt động; doanh thu qua kênh</t>
  </si>
  <si>
    <t xml:space="preserve">Chưa rõ</t>
  </si>
  <si>
    <t xml:space="preserve">Đối tác hạ tầng và mạng (data center, nhà mạng)</t>
  </si>
  <si>
    <t xml:space="preserve">Giữ hạ tầng và dữ liệu trong nước ổn định, đúng cam kết</t>
  </si>
  <si>
    <t xml:space="preserve">Rà hợp đồng, SLA, quyền dùng tên trên tài liệu; quản lý quan hệ định kỳ</t>
  </si>
  <si>
    <t xml:space="preserve">Sổ đối tác hạ tầng; lịch gia hạn; xác nhận cho phép dùng tên</t>
  </si>
  <si>
    <t xml:space="preserve">Liên minh với hãng công nghệ</t>
  </si>
  <si>
    <t xml:space="preserve">Có sản phẩm tốt để tích hợp, giá và hỗ trợ tốt</t>
  </si>
  <si>
    <t xml:space="preserve">Ký thỏa thuận phân phối, chứng chỉ kỹ thuật, ưu đãi dự án, lộ trình sản phẩm</t>
  </si>
  <si>
    <t xml:space="preserve">Hợp đồng hãng; chứng chỉ đội kỹ thuật; bảng giá đối tác</t>
  </si>
  <si>
    <t xml:space="preserve">Hệ sinh thái và cơ quan (hiệp hội, cơ quan nhà nước, trường, cộng đồng)</t>
  </si>
  <si>
    <t xml:space="preserve">Tạo niềm tin và cửa vào ngành, nhất là Chính phủ và BFSI</t>
  </si>
  <si>
    <t xml:space="preserve">Chọn 3–5 tổ chức then chốt, đồng tổ chức sự kiện, chia sẻ nội dung</t>
  </si>
  <si>
    <t xml:space="preserve">Danh sách tổ chức; sự kiện chung; lead từ hệ sinh thái</t>
  </si>
  <si>
    <t xml:space="preserve">Mở rộng khu vực (nếu có kế hoạch ngoài Việt Nam)</t>
  </si>
  <si>
    <t xml:space="preserve">Mở thị trường qua đối tác địa phương</t>
  </si>
  <si>
    <t xml:space="preserve">Chọn thị trường, tìm đối tác thí điểm</t>
  </si>
  <si>
    <t xml:space="preserve">Chỉ nên làm sau năm 2</t>
  </si>
  <si>
    <t xml:space="preserve">Theo dõi partner (mỗi partner một dòng)</t>
  </si>
  <si>
    <t xml:space="preserve">Dòng 5 là dòng ví dụ (chữ xám nghiêng), xóa hoặc ghi đè khi bắt đầu nhập. Dòng 6 trở đi là dữ liệu thật. Chọn loại, ngành, bước và hạng từ danh sách thả xuống. Cột Cảnh báo tự báo quá hạn việc tiếp theo hoặc hơn 30 ngày chưa liên hệ.</t>
  </si>
  <si>
    <t xml:space="preserve">Tên partner</t>
  </si>
  <si>
    <t xml:space="preserve">Loại</t>
  </si>
  <si>
    <t xml:space="preserve">Ngành</t>
  </si>
  <si>
    <t xml:space="preserve">Giải pháp liên quan</t>
  </si>
  <si>
    <t xml:space="preserve">Đầu mối bên partner</t>
  </si>
  <si>
    <t xml:space="preserve">Đầu mối VNETWORK</t>
  </si>
  <si>
    <t xml:space="preserve">Bước hiện tại</t>
  </si>
  <si>
    <t xml:space="preserve">Hạng</t>
  </si>
  <si>
    <t xml:space="preserve">Điểm phù hợp (1–5)</t>
  </si>
  <si>
    <t xml:space="preserve">Ngày liên hệ gần nhất</t>
  </si>
  <si>
    <t xml:space="preserve">Việc tiếp theo</t>
  </si>
  <si>
    <t xml:space="preserve">Hạn việc tiếp theo</t>
  </si>
  <si>
    <t xml:space="preserve">(Ví dụ) Công ty ABC</t>
  </si>
  <si>
    <t xml:space="preserve">A. Technology</t>
  </si>
  <si>
    <t xml:space="preserve">BFSI</t>
  </si>
  <si>
    <t xml:space="preserve">Data Loss Prevention</t>
  </si>
  <si>
    <t xml:space="preserve">Tên và số điện thoại</t>
  </si>
  <si>
    <t xml:space="preserve">Tên bạn</t>
  </si>
  <si>
    <t xml:space="preserve">Gửi hồ sơ năng lực cho Presales</t>
  </si>
  <si>
    <t xml:space="preserve">Dòng ví dụ, xóa khi bắt đầu nhập</t>
  </si>
  <si>
    <t xml:space="preserve">Sổ quan hệ đối tác toàn công ty</t>
  </si>
  <si>
    <t xml:space="preserve">Ai đang hợp tác với VNETWORK, đã ký gì, ai phụ trách, còn hiệu lực không. Sáu dòng đầu lấy từ tên được nêu trên trang V-Tech Foundry; loại thỏa thuận và quyền dùng tên đều ghi "Chưa rõ" cho đến khi xác nhận bằng văn bản. Cột Tình trạng tự tính từ ngày hết hạn (sắp hết hạn = còn dưới 60 ngày).</t>
  </si>
  <si>
    <t xml:space="preserve">Tên đối tác</t>
  </si>
  <si>
    <t xml:space="preserve">Nhóm</t>
  </si>
  <si>
    <t xml:space="preserve">Loại thỏa thuận</t>
  </si>
  <si>
    <t xml:space="preserve">Ngày ký</t>
  </si>
  <si>
    <t xml:space="preserve">Ngày hết hạn</t>
  </si>
  <si>
    <t xml:space="preserve">Người phụ trách VNETWORK</t>
  </si>
  <si>
    <t xml:space="preserve">Phòng giữ hợp đồng</t>
  </si>
  <si>
    <t xml:space="preserve">Cho phép dùng tên hoặc logo?</t>
  </si>
  <si>
    <t xml:space="preserve">Tình trạng</t>
  </si>
  <si>
    <t xml:space="preserve">Nguồn và ghi chú</t>
  </si>
  <si>
    <t xml:space="preserve">Viettel IDC</t>
  </si>
  <si>
    <t xml:space="preserve">Hạ tầng và mạng</t>
  </si>
  <si>
    <t xml:space="preserve">Được nêu trên trang Foundry, cần xác nhận hợp đồng và quyền dùng tên</t>
  </si>
  <si>
    <t xml:space="preserve">VNPT</t>
  </si>
  <si>
    <t xml:space="preserve">FPT</t>
  </si>
  <si>
    <t xml:space="preserve">Mobifone</t>
  </si>
  <si>
    <t xml:space="preserve">DatumBridge</t>
  </si>
  <si>
    <t xml:space="preserve">Hãng công nghệ</t>
  </si>
  <si>
    <t xml:space="preserve">Có chuyên gia trên trang Foundry, cần xác nhận quan hệ hợp tác</t>
  </si>
  <si>
    <t xml:space="preserve">SearchInform</t>
  </si>
  <si>
    <t xml:space="preserve">Nhịp làm việc định kỳ</t>
  </si>
  <si>
    <t xml:space="preserve">Ghi ngày làm lần gần nhất ở cột D; cột E tự tính ngày đến hạn tiếp theo và cột F báo quá hạn.</t>
  </si>
  <si>
    <t xml:space="preserve">Việc định kỳ</t>
  </si>
  <si>
    <t xml:space="preserve">Tần suất</t>
  </si>
  <si>
    <t xml:space="preserve">Chu kỳ (ngày)</t>
  </si>
  <si>
    <t xml:space="preserve">Lần gần nhất</t>
  </si>
  <si>
    <t xml:space="preserve">Lần tiếp theo</t>
  </si>
  <si>
    <t xml:space="preserve">Xem pipeline partner</t>
  </si>
  <si>
    <t xml:space="preserve">Hằng tuần</t>
  </si>
  <si>
    <t xml:space="preserve">Tiếp cận partner mới</t>
  </si>
  <si>
    <t xml:space="preserve">Họp rà soát từng partner đang ở Explorer và Certified</t>
  </si>
  <si>
    <t xml:space="preserve">Hằng tháng</t>
  </si>
  <si>
    <t xml:space="preserve">Báo cáo cho lãnh đạo</t>
  </si>
  <si>
    <t xml:space="preserve">Hằng quý</t>
  </si>
  <si>
    <t xml:space="preserve">Xét hạng partner</t>
  </si>
  <si>
    <t xml:space="preserve">Sửa Playbook theo thực tế</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</si>
</sst>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i val="true"/>
      <sz val="9"/>
      <color rgb="FF595959"/>
      <name val="Arial"/>
      <family val="0"/>
      <charset val="1"/>
    </font>
    <font>
      <b val="true"/>
      <sz val="10"/>
      <color rgb="FFFFFFFF"/>
      <name val="Arial"/>
      <family val="0"/>
      <charset val="1"/>
    </font>
    <font>
      <i val="true"/>
      <sz val="10"/>
      <color rgb="FF7F7F7F"/>
      <name val="Arial"/>
      <family val="0"/>
      <charset val="1"/>
    </font>
  </fonts>
  <fills count="6">
    <fill>
      <patternFill patternType="none"/>
    </fill>
    <fill>
      <patternFill patternType="gray125"/>
    </fill>
    <fill>
      <patternFill patternType="solid">
        <fgColor rgb="FFFFF2CC"/>
        <bgColor rgb="FFEDEDED"/>
      </patternFill>
    </fill>
    <fill>
      <patternFill patternType="solid">
        <fgColor rgb="FFD9E1F2"/>
        <bgColor rgb="FFEDEDED"/>
      </patternFill>
    </fill>
    <fill>
      <patternFill patternType="solid">
        <fgColor rgb="FF1F3864"/>
        <bgColor rgb="FF333333"/>
      </patternFill>
    </fill>
    <fill>
      <patternFill patternType="solid">
        <fgColor rgb="FFEDEDED"/>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7" fontId="6"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true" indent="0" shrinkToFit="false"/>
      <protection locked="true" hidden="false"/>
    </xf>
    <xf numFmtId="167" fontId="5"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5" fontId="6" fillId="5" borderId="1" xfId="0" applyFont="true" applyBorder="true" applyAlignment="true" applyProtection="false">
      <alignment horizontal="center" vertical="top" textRotation="0" wrapText="true" indent="0" shrinkToFit="false"/>
      <protection locked="true" hidden="false"/>
    </xf>
    <xf numFmtId="165" fontId="6" fillId="2"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b val="1"/>
        <color rgb="FFC00000"/>
        <sz val="10"/>
      </font>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EDEDED"/>
          <bgColor rgb="FF000000"/>
        </patternFill>
      </fill>
    </dxf>
    <dxf>
      <fill>
        <patternFill>
          <bgColor rgb="FFC6EFCE"/>
        </patternFill>
      </fill>
    </dxf>
    <dxf>
      <fill>
        <patternFill>
          <bgColor rgb="FFFFEB9C"/>
        </patternFill>
      </fill>
    </dxf>
    <dxf>
      <fill>
        <patternFill>
          <bgColor rgb="FFFFC7CE"/>
        </patternFill>
      </fill>
    </dxf>
    <dxf>
      <fill>
        <patternFill patternType="solid">
          <fgColor rgb="FF7F7F7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4"/>
    <col collapsed="false" customWidth="true" hidden="false" outlineLevel="0" max="4" min="4" style="0" width="34"/>
    <col collapsed="false" customWidth="true" hidden="false" outlineLevel="0" max="6" min="5" style="0" width="12"/>
    <col collapsed="false" customWidth="true" hidden="false" outlineLevel="0" max="7" min="7" style="0" width="10"/>
  </cols>
  <sheetData>
    <row r="1" customFormat="false" ht="17.35" hidden="false" customHeight="false" outlineLevel="0" collapsed="false">
      <c r="A1" s="1" t="s">
        <v>0</v>
      </c>
    </row>
    <row r="3" customFormat="false" ht="15" hidden="false" customHeight="false" outlineLevel="0" collapsed="false">
      <c r="A3" s="2" t="s">
        <v>1</v>
      </c>
      <c r="B3" s="3"/>
      <c r="C3" s="4" t="s">
        <v>2</v>
      </c>
    </row>
    <row r="5" customFormat="false" ht="15" hidden="false" customHeight="false" outlineLevel="0" collapsed="false">
      <c r="A5" s="5" t="s">
        <v>3</v>
      </c>
      <c r="B5" s="5" t="s">
        <v>4</v>
      </c>
      <c r="D5" s="5" t="s">
        <v>5</v>
      </c>
      <c r="E5" s="5" t="s">
        <v>6</v>
      </c>
      <c r="F5" s="5" t="s">
        <v>7</v>
      </c>
      <c r="G5" s="5" t="s">
        <v>8</v>
      </c>
    </row>
    <row r="6" customFormat="false" ht="15" hidden="false" customHeight="false" outlineLevel="0" collapsed="false">
      <c r="A6" s="6" t="s">
        <v>9</v>
      </c>
      <c r="B6" s="7" t="n">
        <f aca="false">COUNTIF('V-Tech Hub'!$I$5:$I$24,A6)</f>
        <v>20</v>
      </c>
      <c r="D6" s="6" t="s">
        <v>10</v>
      </c>
      <c r="E6" s="7" t="n">
        <f aca="false">COUNTIF('V-Tech Hub'!$B$5:$B$24,D6)</f>
        <v>4</v>
      </c>
      <c r="F6" s="7" t="n">
        <f aca="false">COUNTIFS('V-Tech Hub'!$B$5:$B$24,D6,'V-Tech Hub'!$I$5:$I$24,"Hoàn thành")</f>
        <v>0</v>
      </c>
      <c r="G6" s="8" t="n">
        <f aca="false">IFERROR(F6/E6,0)</f>
        <v>0</v>
      </c>
    </row>
    <row r="7" customFormat="false" ht="15" hidden="false" customHeight="false" outlineLevel="0" collapsed="false">
      <c r="A7" s="6" t="s">
        <v>11</v>
      </c>
      <c r="B7" s="7" t="n">
        <f aca="false">COUNTIF('V-Tech Hub'!$I$5:$I$24,A7)</f>
        <v>0</v>
      </c>
      <c r="D7" s="6" t="s">
        <v>12</v>
      </c>
      <c r="E7" s="7" t="n">
        <f aca="false">COUNTIF('V-Tech Hub'!$B$5:$B$24,D7)</f>
        <v>4</v>
      </c>
      <c r="F7" s="7" t="n">
        <f aca="false">COUNTIFS('V-Tech Hub'!$B$5:$B$24,D7,'V-Tech Hub'!$I$5:$I$24,"Hoàn thành")</f>
        <v>0</v>
      </c>
      <c r="G7" s="8" t="n">
        <f aca="false">IFERROR(F7/E7,0)</f>
        <v>0</v>
      </c>
    </row>
    <row r="8" customFormat="false" ht="15" hidden="false" customHeight="false" outlineLevel="0" collapsed="false">
      <c r="A8" s="6" t="s">
        <v>7</v>
      </c>
      <c r="B8" s="7" t="n">
        <f aca="false">COUNTIF('V-Tech Hub'!$I$5:$I$24,A8)</f>
        <v>0</v>
      </c>
      <c r="D8" s="6" t="s">
        <v>13</v>
      </c>
      <c r="E8" s="7" t="n">
        <f aca="false">COUNTIF('V-Tech Hub'!$B$5:$B$24,D8)</f>
        <v>5</v>
      </c>
      <c r="F8" s="7" t="n">
        <f aca="false">COUNTIFS('V-Tech Hub'!$B$5:$B$24,D8,'V-Tech Hub'!$I$5:$I$24,"Hoàn thành")</f>
        <v>0</v>
      </c>
      <c r="G8" s="8" t="n">
        <f aca="false">IFERROR(F8/E8,0)</f>
        <v>0</v>
      </c>
    </row>
    <row r="9" customFormat="false" ht="15" hidden="false" customHeight="false" outlineLevel="0" collapsed="false">
      <c r="A9" s="6" t="s">
        <v>14</v>
      </c>
      <c r="B9" s="7" t="n">
        <f aca="false">COUNTIF('V-Tech Hub'!$I$5:$I$24,A9)</f>
        <v>0</v>
      </c>
      <c r="D9" s="6" t="s">
        <v>15</v>
      </c>
      <c r="E9" s="7" t="n">
        <f aca="false">COUNTIF('V-Tech Hub'!$B$5:$B$24,D9)</f>
        <v>4</v>
      </c>
      <c r="F9" s="7" t="n">
        <f aca="false">COUNTIFS('V-Tech Hub'!$B$5:$B$24,D9,'V-Tech Hub'!$I$5:$I$24,"Hoàn thành")</f>
        <v>0</v>
      </c>
      <c r="G9" s="8" t="n">
        <f aca="false">IFERROR(F9/E9,0)</f>
        <v>0</v>
      </c>
    </row>
    <row r="10" customFormat="false" ht="15" hidden="false" customHeight="false" outlineLevel="0" collapsed="false">
      <c r="A10" s="9" t="s">
        <v>16</v>
      </c>
      <c r="B10" s="10" t="n">
        <f aca="false">COUNTA('V-Tech Hub'!$C$5:$C$24)</f>
        <v>20</v>
      </c>
      <c r="D10" s="6" t="s">
        <v>17</v>
      </c>
      <c r="E10" s="7" t="n">
        <f aca="false">COUNTIF('V-Tech Hub'!$B$5:$B$24,D10)</f>
        <v>3</v>
      </c>
      <c r="F10" s="7" t="n">
        <f aca="false">COUNTIFS('V-Tech Hub'!$B$5:$B$24,D10,'V-Tech Hub'!$I$5:$I$24,"Hoàn thành")</f>
        <v>0</v>
      </c>
      <c r="G10" s="8" t="n">
        <f aca="false">IFERROR(F10/E10,0)</f>
        <v>0</v>
      </c>
    </row>
    <row r="11" customFormat="false" ht="15" hidden="false" customHeight="false" outlineLevel="0" collapsed="false">
      <c r="A11" s="9" t="s">
        <v>18</v>
      </c>
      <c r="B11" s="11" t="n">
        <f aca="false">IFERROR(B8/B10,0)</f>
        <v>0</v>
      </c>
    </row>
    <row r="12" customFormat="false" ht="15" hidden="false" customHeight="false" outlineLevel="0" collapsed="false">
      <c r="A12" s="9" t="s">
        <v>19</v>
      </c>
      <c r="B12" s="10" t="n">
        <f aca="false">COUNTIF('V-Tech Hub'!$K$5:$K$24,"Quá hạn")</f>
        <v>0</v>
      </c>
    </row>
    <row r="15" customFormat="false" ht="15" hidden="false" customHeight="false" outlineLevel="0" collapsed="false">
      <c r="A15" s="5" t="s">
        <v>20</v>
      </c>
      <c r="B15" s="5" t="s">
        <v>21</v>
      </c>
      <c r="D15" s="5" t="s">
        <v>22</v>
      </c>
      <c r="E15" s="5" t="s">
        <v>21</v>
      </c>
    </row>
    <row r="16" customFormat="false" ht="15" hidden="false" customHeight="false" outlineLevel="0" collapsed="false">
      <c r="A16" s="6" t="s">
        <v>23</v>
      </c>
      <c r="B16" s="7" t="n">
        <f aca="false">COUNTIF('Theo dõi partner'!$H$6:$H$105,A16)</f>
        <v>0</v>
      </c>
      <c r="D16" s="6" t="s">
        <v>24</v>
      </c>
      <c r="E16" s="7" t="n">
        <f aca="false">COUNTIF('Theo dõi partner'!$I$6:$I$105,D16)</f>
        <v>0</v>
      </c>
    </row>
    <row r="17" customFormat="false" ht="15" hidden="false" customHeight="false" outlineLevel="0" collapsed="false">
      <c r="A17" s="6" t="s">
        <v>25</v>
      </c>
      <c r="B17" s="7" t="n">
        <f aca="false">COUNTIF('Theo dõi partner'!$H$6:$H$105,A17)</f>
        <v>0</v>
      </c>
      <c r="D17" s="6" t="s">
        <v>26</v>
      </c>
      <c r="E17" s="7" t="n">
        <f aca="false">COUNTIF('Theo dõi partner'!$I$6:$I$105,D17)</f>
        <v>0</v>
      </c>
    </row>
    <row r="18" customFormat="false" ht="15" hidden="false" customHeight="false" outlineLevel="0" collapsed="false">
      <c r="A18" s="6" t="s">
        <v>27</v>
      </c>
      <c r="B18" s="7" t="n">
        <f aca="false">COUNTIF('Theo dõi partner'!$H$6:$H$105,A18)</f>
        <v>0</v>
      </c>
      <c r="D18" s="6" t="s">
        <v>28</v>
      </c>
      <c r="E18" s="7" t="n">
        <f aca="false">COUNTIF('Theo dõi partner'!$I$6:$I$105,D18)</f>
        <v>0</v>
      </c>
    </row>
    <row r="19" customFormat="false" ht="15" hidden="false" customHeight="false" outlineLevel="0" collapsed="false">
      <c r="A19" s="6" t="s">
        <v>29</v>
      </c>
      <c r="B19" s="7" t="n">
        <f aca="false">COUNTIF('Theo dõi partner'!$H$6:$H$105,A19)</f>
        <v>0</v>
      </c>
      <c r="D19" s="9" t="s">
        <v>30</v>
      </c>
      <c r="E19" s="10" t="n">
        <f aca="false">COUNTIF('Theo dõi partner'!$N$6:$N$105,"?*")</f>
        <v>0</v>
      </c>
    </row>
    <row r="20" customFormat="false" ht="15" hidden="false" customHeight="false" outlineLevel="0" collapsed="false">
      <c r="A20" s="6" t="s">
        <v>31</v>
      </c>
      <c r="B20" s="7" t="n">
        <f aca="false">COUNTIF('Theo dõi partner'!$H$6:$H$105,A20)</f>
        <v>0</v>
      </c>
    </row>
    <row r="21" customFormat="false" ht="15" hidden="false" customHeight="false" outlineLevel="0" collapsed="false">
      <c r="A21" s="6" t="s">
        <v>32</v>
      </c>
      <c r="B21" s="7" t="n">
        <f aca="false">COUNTIF('Theo dõi partner'!$H$6:$H$105,A21)</f>
        <v>0</v>
      </c>
      <c r="D21" s="5" t="s">
        <v>33</v>
      </c>
      <c r="E21" s="5" t="s">
        <v>34</v>
      </c>
    </row>
    <row r="22" customFormat="false" ht="15" hidden="false" customHeight="false" outlineLevel="0" collapsed="false">
      <c r="A22" s="6" t="s">
        <v>35</v>
      </c>
      <c r="B22" s="7" t="n">
        <f aca="false">COUNTIF('Theo dõi partner'!$H$6:$H$105,A22)</f>
        <v>0</v>
      </c>
      <c r="D22" s="6" t="s">
        <v>36</v>
      </c>
      <c r="E22" s="7" t="n">
        <f aca="false">COUNTIF('Nhịp làm việc'!$F$5:$F$10,"Quá hạn")</f>
        <v>0</v>
      </c>
    </row>
    <row r="23" customFormat="false" ht="23.85" hidden="false" customHeight="false" outlineLevel="0" collapsed="false">
      <c r="A23" s="6" t="s">
        <v>37</v>
      </c>
      <c r="B23" s="7" t="n">
        <f aca="false">COUNTIF('Theo dõi partner'!$H$6:$H$105,A23)</f>
        <v>0</v>
      </c>
      <c r="D23" s="6" t="s">
        <v>38</v>
      </c>
      <c r="E23" s="7" t="n">
        <f aca="false">COUNTIF('Sổ đối tác toàn công ty'!$I$5:$I$34,"Sắp hết hạn")+COUNTIF('Sổ đối tác toàn công ty'!$I$5:$I$34,"Hết hạn")</f>
        <v>0</v>
      </c>
    </row>
    <row r="24" customFormat="false" ht="15" hidden="false" customHeight="false" outlineLevel="0" collapsed="false">
      <c r="A24" s="9" t="s">
        <v>39</v>
      </c>
      <c r="B24" s="10" t="n">
        <f aca="false">COUNTA('Theo dõi partner'!$B$6:$B$105)</f>
        <v>0</v>
      </c>
      <c r="D24" s="6" t="s">
        <v>40</v>
      </c>
      <c r="E24" s="7" t="n">
        <f aca="false">COUNTIF('Mảng ngoài Hub'!$E$5:$E$9,"Chưa rõ")</f>
        <v>5</v>
      </c>
    </row>
    <row r="27" customFormat="false" ht="15" hidden="false" customHeight="false" outlineLevel="0" collapsed="false">
      <c r="A27" s="2" t="s">
        <v>41</v>
      </c>
    </row>
    <row r="28" customFormat="false" ht="15" hidden="false" customHeight="false" outlineLevel="0" collapsed="false">
      <c r="A28" s="12" t="s">
        <v>42</v>
      </c>
    </row>
    <row r="29" customFormat="false" ht="15" hidden="false" customHeight="false" outlineLevel="0" collapsed="false">
      <c r="A29" s="12" t="s">
        <v>43</v>
      </c>
    </row>
    <row r="30" customFormat="false" ht="15" hidden="false" customHeight="false" outlineLevel="0" collapsed="false">
      <c r="A30" s="12" t="s">
        <v>44</v>
      </c>
    </row>
    <row r="31" customFormat="false" ht="15" hidden="false" customHeight="false" outlineLevel="0" collapsed="false">
      <c r="A31" s="12" t="s">
        <v>45</v>
      </c>
    </row>
    <row r="32" customFormat="false" ht="15" hidden="false" customHeight="false" outlineLevel="0" collapsed="false">
      <c r="A32" s="12" t="s">
        <v>46</v>
      </c>
    </row>
    <row r="33" customFormat="false" ht="15" hidden="false" customHeight="false" outlineLevel="0" collapsed="false">
      <c r="A33" s="12" t="s">
        <v>47</v>
      </c>
    </row>
  </sheetData>
  <conditionalFormatting sqref="B12">
    <cfRule type="cellIs" priority="2"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52"/>
    <col collapsed="false" customWidth="true" hidden="false" outlineLevel="0" max="4" min="4" style="0" width="30"/>
    <col collapsed="false" customWidth="true" hidden="false" outlineLevel="0" max="5" min="5" style="0" width="22"/>
    <col collapsed="false" customWidth="true" hidden="false" outlineLevel="0" max="6" min="6" style="0" width="12"/>
    <col collapsed="false" customWidth="true" hidden="false" outlineLevel="0" max="7" min="7" style="0" width="16"/>
    <col collapsed="false" customWidth="true" hidden="false" outlineLevel="0" max="8" min="8" style="0" width="13"/>
    <col collapsed="false" customWidth="true" hidden="false" outlineLevel="0" max="9" min="9" style="0" width="15"/>
    <col collapsed="false" customWidth="true" hidden="false" outlineLevel="0" max="10" min="10" style="0" width="14"/>
    <col collapsed="false" customWidth="true" hidden="false" outlineLevel="0" max="11" min="11" style="0" width="12"/>
    <col collapsed="false" customWidth="true" hidden="false" outlineLevel="0" max="12" min="12" style="0" width="30"/>
  </cols>
  <sheetData>
    <row r="1" customFormat="false" ht="17.35" hidden="false" customHeight="false" outlineLevel="0" collapsed="false">
      <c r="A1" s="1" t="s">
        <v>48</v>
      </c>
    </row>
    <row r="2" customFormat="false" ht="42" hidden="false" customHeight="true" outlineLevel="0" collapsed="false">
      <c r="A2" s="13" t="s">
        <v>49</v>
      </c>
      <c r="B2" s="13"/>
      <c r="C2" s="13"/>
      <c r="D2" s="13"/>
      <c r="E2" s="13"/>
      <c r="F2" s="13"/>
      <c r="G2" s="13"/>
      <c r="H2" s="13"/>
      <c r="I2" s="13"/>
      <c r="J2" s="13"/>
      <c r="K2" s="13"/>
      <c r="L2" s="13"/>
    </row>
    <row r="4" customFormat="false" ht="31.5" hidden="false" customHeight="true" outlineLevel="0" collapsed="false">
      <c r="A4" s="14" t="s">
        <v>50</v>
      </c>
      <c r="B4" s="14" t="s">
        <v>5</v>
      </c>
      <c r="C4" s="14" t="s">
        <v>51</v>
      </c>
      <c r="D4" s="14" t="s">
        <v>52</v>
      </c>
      <c r="E4" s="14" t="s">
        <v>53</v>
      </c>
      <c r="F4" s="14" t="s">
        <v>54</v>
      </c>
      <c r="G4" s="14" t="s">
        <v>55</v>
      </c>
      <c r="H4" s="14" t="s">
        <v>56</v>
      </c>
      <c r="I4" s="14" t="s">
        <v>57</v>
      </c>
      <c r="J4" s="14" t="s">
        <v>58</v>
      </c>
      <c r="K4" s="14" t="s">
        <v>59</v>
      </c>
      <c r="L4" s="14" t="s">
        <v>60</v>
      </c>
    </row>
    <row r="5" customFormat="false" ht="23.85" hidden="false" customHeight="false" outlineLevel="0" collapsed="false">
      <c r="A5" s="7" t="n">
        <v>1</v>
      </c>
      <c r="B5" s="6" t="s">
        <v>10</v>
      </c>
      <c r="C5" s="6" t="s">
        <v>61</v>
      </c>
      <c r="D5" s="6" t="s">
        <v>62</v>
      </c>
      <c r="E5" s="6" t="s">
        <v>63</v>
      </c>
      <c r="F5" s="15" t="s">
        <v>64</v>
      </c>
      <c r="G5" s="15" t="n">
        <v>14</v>
      </c>
      <c r="H5" s="16" t="str">
        <f aca="false">IF(OR('Tổng quan'!$B$3="",G5=""),"",'Tổng quan'!$B$3+G5)</f>
        <v/>
      </c>
      <c r="I5" s="15" t="s">
        <v>9</v>
      </c>
      <c r="J5" s="17"/>
      <c r="K5" s="18" t="str">
        <f aca="true">IF(OR(H5="",I5="Hoàn thành"),"",IF(H5&lt;TODAY(),"Quá hạn",""))</f>
        <v/>
      </c>
      <c r="L5" s="19"/>
    </row>
    <row r="6" customFormat="false" ht="15" hidden="false" customHeight="false" outlineLevel="0" collapsed="false">
      <c r="A6" s="7" t="n">
        <v>2</v>
      </c>
      <c r="B6" s="6" t="s">
        <v>10</v>
      </c>
      <c r="C6" s="6" t="s">
        <v>65</v>
      </c>
      <c r="D6" s="6" t="s">
        <v>66</v>
      </c>
      <c r="E6" s="6" t="s">
        <v>67</v>
      </c>
      <c r="F6" s="15" t="s">
        <v>64</v>
      </c>
      <c r="G6" s="15" t="n">
        <v>30</v>
      </c>
      <c r="H6" s="16" t="str">
        <f aca="false">IF(OR('Tổng quan'!$B$3="",G6=""),"",'Tổng quan'!$B$3+G6)</f>
        <v/>
      </c>
      <c r="I6" s="15" t="s">
        <v>9</v>
      </c>
      <c r="J6" s="17"/>
      <c r="K6" s="18" t="str">
        <f aca="true">IF(OR(H6="",I6="Hoàn thành"),"",IF(H6&lt;TODAY(),"Quá hạn",""))</f>
        <v/>
      </c>
      <c r="L6" s="19"/>
    </row>
    <row r="7" customFormat="false" ht="23.85" hidden="false" customHeight="false" outlineLevel="0" collapsed="false">
      <c r="A7" s="7" t="n">
        <v>3</v>
      </c>
      <c r="B7" s="6" t="s">
        <v>10</v>
      </c>
      <c r="C7" s="6" t="s">
        <v>68</v>
      </c>
      <c r="D7" s="6" t="s">
        <v>69</v>
      </c>
      <c r="E7" s="6" t="s">
        <v>70</v>
      </c>
      <c r="F7" s="15" t="s">
        <v>64</v>
      </c>
      <c r="G7" s="15" t="n">
        <v>60</v>
      </c>
      <c r="H7" s="16" t="str">
        <f aca="false">IF(OR('Tổng quan'!$B$3="",G7=""),"",'Tổng quan'!$B$3+G7)</f>
        <v/>
      </c>
      <c r="I7" s="15" t="s">
        <v>9</v>
      </c>
      <c r="J7" s="17"/>
      <c r="K7" s="18" t="str">
        <f aca="true">IF(OR(H7="",I7="Hoàn thành"),"",IF(H7&lt;TODAY(),"Quá hạn",""))</f>
        <v/>
      </c>
      <c r="L7" s="19"/>
    </row>
    <row r="8" customFormat="false" ht="15" hidden="false" customHeight="false" outlineLevel="0" collapsed="false">
      <c r="A8" s="7" t="n">
        <v>4</v>
      </c>
      <c r="B8" s="6" t="s">
        <v>10</v>
      </c>
      <c r="C8" s="6" t="s">
        <v>71</v>
      </c>
      <c r="D8" s="6" t="s">
        <v>72</v>
      </c>
      <c r="E8" s="6" t="s">
        <v>73</v>
      </c>
      <c r="F8" s="15" t="s">
        <v>64</v>
      </c>
      <c r="G8" s="15" t="n">
        <v>90</v>
      </c>
      <c r="H8" s="16" t="str">
        <f aca="false">IF(OR('Tổng quan'!$B$3="",G8=""),"",'Tổng quan'!$B$3+G8)</f>
        <v/>
      </c>
      <c r="I8" s="15" t="s">
        <v>9</v>
      </c>
      <c r="J8" s="17"/>
      <c r="K8" s="18" t="str">
        <f aca="true">IF(OR(H8="",I8="Hoàn thành"),"",IF(H8&lt;TODAY(),"Quá hạn",""))</f>
        <v/>
      </c>
      <c r="L8" s="19"/>
    </row>
    <row r="9" customFormat="false" ht="23.85" hidden="false" customHeight="false" outlineLevel="0" collapsed="false">
      <c r="A9" s="7" t="n">
        <v>5</v>
      </c>
      <c r="B9" s="6" t="s">
        <v>12</v>
      </c>
      <c r="C9" s="6" t="s">
        <v>74</v>
      </c>
      <c r="D9" s="6" t="s">
        <v>75</v>
      </c>
      <c r="E9" s="6" t="s">
        <v>76</v>
      </c>
      <c r="F9" s="15" t="s">
        <v>64</v>
      </c>
      <c r="G9" s="15" t="n">
        <v>14</v>
      </c>
      <c r="H9" s="16" t="str">
        <f aca="false">IF(OR('Tổng quan'!$B$3="",G9=""),"",'Tổng quan'!$B$3+G9)</f>
        <v/>
      </c>
      <c r="I9" s="15" t="s">
        <v>9</v>
      </c>
      <c r="J9" s="17"/>
      <c r="K9" s="18" t="str">
        <f aca="true">IF(OR(H9="",I9="Hoàn thành"),"",IF(H9&lt;TODAY(),"Quá hạn",""))</f>
        <v/>
      </c>
      <c r="L9" s="19"/>
    </row>
    <row r="10" customFormat="false" ht="23.85" hidden="false" customHeight="false" outlineLevel="0" collapsed="false">
      <c r="A10" s="7" t="n">
        <v>6</v>
      </c>
      <c r="B10" s="6" t="s">
        <v>12</v>
      </c>
      <c r="C10" s="6" t="s">
        <v>77</v>
      </c>
      <c r="D10" s="6" t="s">
        <v>78</v>
      </c>
      <c r="E10" s="6" t="s">
        <v>79</v>
      </c>
      <c r="F10" s="15" t="s">
        <v>64</v>
      </c>
      <c r="G10" s="15" t="n">
        <v>90</v>
      </c>
      <c r="H10" s="16" t="str">
        <f aca="false">IF(OR('Tổng quan'!$B$3="",G10=""),"",'Tổng quan'!$B$3+G10)</f>
        <v/>
      </c>
      <c r="I10" s="15" t="s">
        <v>9</v>
      </c>
      <c r="J10" s="17"/>
      <c r="K10" s="18" t="str">
        <f aca="true">IF(OR(H10="",I10="Hoàn thành"),"",IF(H10&lt;TODAY(),"Quá hạn",""))</f>
        <v/>
      </c>
      <c r="L10" s="19"/>
    </row>
    <row r="11" customFormat="false" ht="23.85" hidden="false" customHeight="false" outlineLevel="0" collapsed="false">
      <c r="A11" s="7" t="n">
        <v>7</v>
      </c>
      <c r="B11" s="6" t="s">
        <v>12</v>
      </c>
      <c r="C11" s="6" t="s">
        <v>80</v>
      </c>
      <c r="D11" s="6" t="s">
        <v>81</v>
      </c>
      <c r="E11" s="6" t="s">
        <v>82</v>
      </c>
      <c r="F11" s="15" t="s">
        <v>64</v>
      </c>
      <c r="G11" s="15" t="n">
        <v>90</v>
      </c>
      <c r="H11" s="16" t="str">
        <f aca="false">IF(OR('Tổng quan'!$B$3="",G11=""),"",'Tổng quan'!$B$3+G11)</f>
        <v/>
      </c>
      <c r="I11" s="15" t="s">
        <v>9</v>
      </c>
      <c r="J11" s="17"/>
      <c r="K11" s="18" t="str">
        <f aca="true">IF(OR(H11="",I11="Hoàn thành"),"",IF(H11&lt;TODAY(),"Quá hạn",""))</f>
        <v/>
      </c>
      <c r="L11" s="19"/>
    </row>
    <row r="12" customFormat="false" ht="15" hidden="false" customHeight="false" outlineLevel="0" collapsed="false">
      <c r="A12" s="7" t="n">
        <v>8</v>
      </c>
      <c r="B12" s="6" t="s">
        <v>12</v>
      </c>
      <c r="C12" s="6" t="s">
        <v>83</v>
      </c>
      <c r="D12" s="6" t="s">
        <v>84</v>
      </c>
      <c r="E12" s="6" t="s">
        <v>85</v>
      </c>
      <c r="F12" s="15" t="s">
        <v>64</v>
      </c>
      <c r="G12" s="15" t="n">
        <v>60</v>
      </c>
      <c r="H12" s="16" t="str">
        <f aca="false">IF(OR('Tổng quan'!$B$3="",G12=""),"",'Tổng quan'!$B$3+G12)</f>
        <v/>
      </c>
      <c r="I12" s="15" t="s">
        <v>9</v>
      </c>
      <c r="J12" s="17"/>
      <c r="K12" s="18" t="str">
        <f aca="true">IF(OR(H12="",I12="Hoàn thành"),"",IF(H12&lt;TODAY(),"Quá hạn",""))</f>
        <v/>
      </c>
      <c r="L12" s="19"/>
    </row>
    <row r="13" customFormat="false" ht="23.85" hidden="false" customHeight="false" outlineLevel="0" collapsed="false">
      <c r="A13" s="7" t="n">
        <v>9</v>
      </c>
      <c r="B13" s="6" t="s">
        <v>13</v>
      </c>
      <c r="C13" s="6" t="s">
        <v>86</v>
      </c>
      <c r="D13" s="6" t="s">
        <v>87</v>
      </c>
      <c r="E13" s="6" t="s">
        <v>88</v>
      </c>
      <c r="F13" s="15" t="s">
        <v>64</v>
      </c>
      <c r="G13" s="15" t="n">
        <v>14</v>
      </c>
      <c r="H13" s="16" t="str">
        <f aca="false">IF(OR('Tổng quan'!$B$3="",G13=""),"",'Tổng quan'!$B$3+G13)</f>
        <v/>
      </c>
      <c r="I13" s="15" t="s">
        <v>9</v>
      </c>
      <c r="J13" s="17"/>
      <c r="K13" s="18" t="str">
        <f aca="true">IF(OR(H13="",I13="Hoàn thành"),"",IF(H13&lt;TODAY(),"Quá hạn",""))</f>
        <v/>
      </c>
      <c r="L13" s="19"/>
    </row>
    <row r="14" customFormat="false" ht="15" hidden="false" customHeight="false" outlineLevel="0" collapsed="false">
      <c r="A14" s="7" t="n">
        <v>10</v>
      </c>
      <c r="B14" s="6" t="s">
        <v>13</v>
      </c>
      <c r="C14" s="6" t="s">
        <v>89</v>
      </c>
      <c r="D14" s="6" t="s">
        <v>90</v>
      </c>
      <c r="E14" s="6" t="s">
        <v>91</v>
      </c>
      <c r="F14" s="15" t="s">
        <v>92</v>
      </c>
      <c r="G14" s="15" t="n">
        <v>90</v>
      </c>
      <c r="H14" s="16" t="str">
        <f aca="false">IF(OR('Tổng quan'!$B$3="",G14=""),"",'Tổng quan'!$B$3+G14)</f>
        <v/>
      </c>
      <c r="I14" s="15" t="s">
        <v>9</v>
      </c>
      <c r="J14" s="17"/>
      <c r="K14" s="18" t="str">
        <f aca="true">IF(OR(H14="",I14="Hoàn thành"),"",IF(H14&lt;TODAY(),"Quá hạn",""))</f>
        <v/>
      </c>
      <c r="L14" s="19"/>
    </row>
    <row r="15" customFormat="false" ht="15" hidden="false" customHeight="false" outlineLevel="0" collapsed="false">
      <c r="A15" s="7" t="n">
        <v>11</v>
      </c>
      <c r="B15" s="6" t="s">
        <v>13</v>
      </c>
      <c r="C15" s="6" t="s">
        <v>93</v>
      </c>
      <c r="D15" s="6" t="s">
        <v>94</v>
      </c>
      <c r="E15" s="6" t="s">
        <v>95</v>
      </c>
      <c r="F15" s="15" t="s">
        <v>92</v>
      </c>
      <c r="G15" s="15" t="n">
        <v>90</v>
      </c>
      <c r="H15" s="16" t="str">
        <f aca="false">IF(OR('Tổng quan'!$B$3="",G15=""),"",'Tổng quan'!$B$3+G15)</f>
        <v/>
      </c>
      <c r="I15" s="15" t="s">
        <v>9</v>
      </c>
      <c r="J15" s="17"/>
      <c r="K15" s="18" t="str">
        <f aca="true">IF(OR(H15="",I15="Hoàn thành"),"",IF(H15&lt;TODAY(),"Quá hạn",""))</f>
        <v/>
      </c>
      <c r="L15" s="19"/>
    </row>
    <row r="16" customFormat="false" ht="23.85" hidden="false" customHeight="false" outlineLevel="0" collapsed="false">
      <c r="A16" s="7" t="n">
        <v>12</v>
      </c>
      <c r="B16" s="6" t="s">
        <v>13</v>
      </c>
      <c r="C16" s="6" t="s">
        <v>96</v>
      </c>
      <c r="D16" s="6" t="s">
        <v>97</v>
      </c>
      <c r="E16" s="6" t="s">
        <v>98</v>
      </c>
      <c r="F16" s="15" t="s">
        <v>64</v>
      </c>
      <c r="G16" s="15" t="n">
        <v>90</v>
      </c>
      <c r="H16" s="16" t="str">
        <f aca="false">IF(OR('Tổng quan'!$B$3="",G16=""),"",'Tổng quan'!$B$3+G16)</f>
        <v/>
      </c>
      <c r="I16" s="15" t="s">
        <v>9</v>
      </c>
      <c r="J16" s="17"/>
      <c r="K16" s="18" t="str">
        <f aca="true">IF(OR(H16="",I16="Hoàn thành"),"",IF(H16&lt;TODAY(),"Quá hạn",""))</f>
        <v/>
      </c>
      <c r="L16" s="19"/>
    </row>
    <row r="17" customFormat="false" ht="15" hidden="false" customHeight="false" outlineLevel="0" collapsed="false">
      <c r="A17" s="7" t="n">
        <v>13</v>
      </c>
      <c r="B17" s="6" t="s">
        <v>13</v>
      </c>
      <c r="C17" s="6" t="s">
        <v>99</v>
      </c>
      <c r="D17" s="6" t="s">
        <v>100</v>
      </c>
      <c r="E17" s="6" t="s">
        <v>101</v>
      </c>
      <c r="F17" s="15" t="s">
        <v>92</v>
      </c>
      <c r="G17" s="15" t="n">
        <v>180</v>
      </c>
      <c r="H17" s="16" t="str">
        <f aca="false">IF(OR('Tổng quan'!$B$3="",G17=""),"",'Tổng quan'!$B$3+G17)</f>
        <v/>
      </c>
      <c r="I17" s="15" t="s">
        <v>9</v>
      </c>
      <c r="J17" s="17"/>
      <c r="K17" s="18" t="str">
        <f aca="true">IF(OR(H17="",I17="Hoàn thành"),"",IF(H17&lt;TODAY(),"Quá hạn",""))</f>
        <v/>
      </c>
      <c r="L17" s="19"/>
    </row>
    <row r="18" customFormat="false" ht="23.85" hidden="false" customHeight="false" outlineLevel="0" collapsed="false">
      <c r="A18" s="7" t="n">
        <v>14</v>
      </c>
      <c r="B18" s="6" t="s">
        <v>15</v>
      </c>
      <c r="C18" s="6" t="s">
        <v>102</v>
      </c>
      <c r="D18" s="6" t="s">
        <v>103</v>
      </c>
      <c r="E18" s="6" t="s">
        <v>104</v>
      </c>
      <c r="F18" s="15" t="s">
        <v>64</v>
      </c>
      <c r="G18" s="15" t="n">
        <v>120</v>
      </c>
      <c r="H18" s="16" t="str">
        <f aca="false">IF(OR('Tổng quan'!$B$3="",G18=""),"",'Tổng quan'!$B$3+G18)</f>
        <v/>
      </c>
      <c r="I18" s="15" t="s">
        <v>9</v>
      </c>
      <c r="J18" s="17"/>
      <c r="K18" s="18" t="str">
        <f aca="true">IF(OR(H18="",I18="Hoàn thành"),"",IF(H18&lt;TODAY(),"Quá hạn",""))</f>
        <v/>
      </c>
      <c r="L18" s="19"/>
    </row>
    <row r="19" customFormat="false" ht="23.85" hidden="false" customHeight="false" outlineLevel="0" collapsed="false">
      <c r="A19" s="7" t="n">
        <v>15</v>
      </c>
      <c r="B19" s="6" t="s">
        <v>15</v>
      </c>
      <c r="C19" s="6" t="s">
        <v>105</v>
      </c>
      <c r="D19" s="6" t="s">
        <v>106</v>
      </c>
      <c r="E19" s="6" t="s">
        <v>107</v>
      </c>
      <c r="F19" s="15" t="s">
        <v>64</v>
      </c>
      <c r="G19" s="15" t="n">
        <v>180</v>
      </c>
      <c r="H19" s="16" t="str">
        <f aca="false">IF(OR('Tổng quan'!$B$3="",G19=""),"",'Tổng quan'!$B$3+G19)</f>
        <v/>
      </c>
      <c r="I19" s="15" t="s">
        <v>9</v>
      </c>
      <c r="J19" s="17"/>
      <c r="K19" s="18" t="str">
        <f aca="true">IF(OR(H19="",I19="Hoàn thành"),"",IF(H19&lt;TODAY(),"Quá hạn",""))</f>
        <v/>
      </c>
      <c r="L19" s="19"/>
    </row>
    <row r="20" customFormat="false" ht="23.85" hidden="false" customHeight="false" outlineLevel="0" collapsed="false">
      <c r="A20" s="7" t="n">
        <v>16</v>
      </c>
      <c r="B20" s="6" t="s">
        <v>15</v>
      </c>
      <c r="C20" s="6" t="s">
        <v>108</v>
      </c>
      <c r="D20" s="6" t="s">
        <v>109</v>
      </c>
      <c r="E20" s="6" t="s">
        <v>110</v>
      </c>
      <c r="F20" s="15" t="s">
        <v>64</v>
      </c>
      <c r="G20" s="15" t="n">
        <v>180</v>
      </c>
      <c r="H20" s="16" t="str">
        <f aca="false">IF(OR('Tổng quan'!$B$3="",G20=""),"",'Tổng quan'!$B$3+G20)</f>
        <v/>
      </c>
      <c r="I20" s="15" t="s">
        <v>9</v>
      </c>
      <c r="J20" s="17"/>
      <c r="K20" s="18" t="str">
        <f aca="true">IF(OR(H20="",I20="Hoàn thành"),"",IF(H20&lt;TODAY(),"Quá hạn",""))</f>
        <v/>
      </c>
      <c r="L20" s="19"/>
    </row>
    <row r="21" customFormat="false" ht="23.85" hidden="false" customHeight="false" outlineLevel="0" collapsed="false">
      <c r="A21" s="7" t="n">
        <v>17</v>
      </c>
      <c r="B21" s="6" t="s">
        <v>15</v>
      </c>
      <c r="C21" s="6" t="s">
        <v>111</v>
      </c>
      <c r="D21" s="6" t="s">
        <v>112</v>
      </c>
      <c r="E21" s="6" t="s">
        <v>113</v>
      </c>
      <c r="F21" s="15" t="s">
        <v>64</v>
      </c>
      <c r="G21" s="15" t="n">
        <v>180</v>
      </c>
      <c r="H21" s="16" t="str">
        <f aca="false">IF(OR('Tổng quan'!$B$3="",G21=""),"",'Tổng quan'!$B$3+G21)</f>
        <v/>
      </c>
      <c r="I21" s="15" t="s">
        <v>9</v>
      </c>
      <c r="J21" s="17"/>
      <c r="K21" s="18" t="str">
        <f aca="true">IF(OR(H21="",I21="Hoàn thành"),"",IF(H21&lt;TODAY(),"Quá hạn",""))</f>
        <v/>
      </c>
      <c r="L21" s="19"/>
    </row>
    <row r="22" customFormat="false" ht="15" hidden="false" customHeight="false" outlineLevel="0" collapsed="false">
      <c r="A22" s="7" t="n">
        <v>18</v>
      </c>
      <c r="B22" s="6" t="s">
        <v>17</v>
      </c>
      <c r="C22" s="6" t="s">
        <v>114</v>
      </c>
      <c r="D22" s="6" t="s">
        <v>115</v>
      </c>
      <c r="E22" s="6" t="s">
        <v>116</v>
      </c>
      <c r="F22" s="15" t="s">
        <v>64</v>
      </c>
      <c r="G22" s="15" t="n">
        <v>180</v>
      </c>
      <c r="H22" s="16" t="str">
        <f aca="false">IF(OR('Tổng quan'!$B$3="",G22=""),"",'Tổng quan'!$B$3+G22)</f>
        <v/>
      </c>
      <c r="I22" s="15" t="s">
        <v>9</v>
      </c>
      <c r="J22" s="17"/>
      <c r="K22" s="18" t="str">
        <f aca="true">IF(OR(H22="",I22="Hoàn thành"),"",IF(H22&lt;TODAY(),"Quá hạn",""))</f>
        <v/>
      </c>
      <c r="L22" s="19"/>
    </row>
    <row r="23" customFormat="false" ht="23.85" hidden="false" customHeight="false" outlineLevel="0" collapsed="false">
      <c r="A23" s="7" t="n">
        <v>19</v>
      </c>
      <c r="B23" s="6" t="s">
        <v>17</v>
      </c>
      <c r="C23" s="6" t="s">
        <v>117</v>
      </c>
      <c r="D23" s="6" t="s">
        <v>118</v>
      </c>
      <c r="E23" s="6" t="s">
        <v>119</v>
      </c>
      <c r="F23" s="15" t="s">
        <v>64</v>
      </c>
      <c r="G23" s="15" t="n">
        <v>90</v>
      </c>
      <c r="H23" s="16" t="str">
        <f aca="false">IF(OR('Tổng quan'!$B$3="",G23=""),"",'Tổng quan'!$B$3+G23)</f>
        <v/>
      </c>
      <c r="I23" s="15" t="s">
        <v>9</v>
      </c>
      <c r="J23" s="17"/>
      <c r="K23" s="18" t="str">
        <f aca="true">IF(OR(H23="",I23="Hoàn thành"),"",IF(H23&lt;TODAY(),"Quá hạn",""))</f>
        <v/>
      </c>
      <c r="L23" s="19"/>
    </row>
    <row r="24" customFormat="false" ht="23.85" hidden="false" customHeight="false" outlineLevel="0" collapsed="false">
      <c r="A24" s="7" t="n">
        <v>20</v>
      </c>
      <c r="B24" s="6" t="s">
        <v>17</v>
      </c>
      <c r="C24" s="6" t="s">
        <v>120</v>
      </c>
      <c r="D24" s="6" t="s">
        <v>121</v>
      </c>
      <c r="E24" s="6" t="s">
        <v>122</v>
      </c>
      <c r="F24" s="15" t="s">
        <v>92</v>
      </c>
      <c r="G24" s="15"/>
      <c r="H24" s="16" t="str">
        <f aca="false">IF(OR('Tổng quan'!$B$3="",G24=""),"",'Tổng quan'!$B$3+G24)</f>
        <v/>
      </c>
      <c r="I24" s="15" t="s">
        <v>9</v>
      </c>
      <c r="J24" s="17"/>
      <c r="K24" s="18" t="str">
        <f aca="true">IF(OR(H24="",I24="Hoàn thành"),"",IF(H24&lt;TODAY(),"Quá hạn",""))</f>
        <v/>
      </c>
      <c r="L24" s="19"/>
    </row>
  </sheetData>
  <autoFilter ref="A4:L24"/>
  <mergeCells count="1">
    <mergeCell ref="A2:L2"/>
  </mergeCells>
  <conditionalFormatting sqref="I5:I24">
    <cfRule type="cellIs" priority="2" operator="equal" aboveAverage="0" equalAverage="0" bottom="0" percent="0" rank="0" text="" dxfId="6">
      <formula>"Hoàn thành"</formula>
    </cfRule>
    <cfRule type="cellIs" priority="3" operator="equal" aboveAverage="0" equalAverage="0" bottom="0" percent="0" rank="0" text="" dxfId="7">
      <formula>"Đang làm"</formula>
    </cfRule>
    <cfRule type="cellIs" priority="4" operator="equal" aboveAverage="0" equalAverage="0" bottom="0" percent="0" rank="0" text="" dxfId="8">
      <formula>"Vướng"</formula>
    </cfRule>
  </conditionalFormatting>
  <conditionalFormatting sqref="K5:K24">
    <cfRule type="expression" priority="5" aboveAverage="0" equalAverage="0" bottom="0" percent="0" rank="0" text="" dxfId="0">
      <formula>ISNUMBER(SEARCH("quá hạn",K5))</formula>
    </cfRule>
  </conditionalFormatting>
  <dataValidations count="3">
    <dataValidation allowBlank="true" errorStyle="stop" operator="between" showDropDown="false" showErrorMessage="true" showInputMessage="false" sqref="I5:I24" type="list">
      <formula1>"Chưa bắt đầu,Đang làm,Hoàn thành,Vướng"</formula1>
      <formula2>0</formula2>
    </dataValidation>
    <dataValidation allowBlank="true" errorStyle="stop" operator="between" showDropDown="false" showErrorMessage="true" showInputMessage="false" sqref="F5:F24" type="list">
      <formula1>"Cao,Trung bình,Thấp"</formula1>
      <formula2>0</formula2>
    </dataValidation>
    <dataValidation allowBlank="true" error="Nhập số ngày (số nguyên từ 0)" errorStyle="stop" operator="greaterThanOrEqual" showDropDown="false" showErrorMessage="true" showInputMessage="false" sqref="G5:G24"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4"/>
    <col collapsed="false" customWidth="true" hidden="false" outlineLevel="0" max="3" min="3" style="0" width="44"/>
    <col collapsed="false" customWidth="true" hidden="false" outlineLevel="0" max="4" min="4" style="0" width="38"/>
    <col collapsed="false" customWidth="true" hidden="false" outlineLevel="0" max="5" min="5" style="0" width="16"/>
    <col collapsed="false" customWidth="true" hidden="false" outlineLevel="0" max="6" min="6" style="0" width="24"/>
    <col collapsed="false" customWidth="true" hidden="false" outlineLevel="0" max="7" min="7" style="0" width="15"/>
    <col collapsed="false" customWidth="true" hidden="false" outlineLevel="0" max="8" min="8" style="0" width="30"/>
  </cols>
  <sheetData>
    <row r="1" customFormat="false" ht="17.35" hidden="false" customHeight="false" outlineLevel="0" collapsed="false">
      <c r="A1" s="1" t="s">
        <v>123</v>
      </c>
    </row>
    <row r="2" customFormat="false" ht="30" hidden="false" customHeight="true" outlineLevel="0" collapsed="false">
      <c r="A2" s="13" t="s">
        <v>124</v>
      </c>
      <c r="B2" s="13"/>
      <c r="C2" s="13"/>
      <c r="D2" s="13"/>
      <c r="E2" s="13"/>
      <c r="F2" s="13"/>
      <c r="G2" s="13"/>
      <c r="H2" s="13"/>
    </row>
    <row r="4" customFormat="false" ht="31.5" hidden="false" customHeight="true" outlineLevel="0" collapsed="false">
      <c r="A4" s="14" t="s">
        <v>125</v>
      </c>
      <c r="B4" s="14" t="s">
        <v>126</v>
      </c>
      <c r="C4" s="14" t="s">
        <v>127</v>
      </c>
      <c r="D4" s="14" t="s">
        <v>52</v>
      </c>
      <c r="E4" s="14" t="s">
        <v>128</v>
      </c>
      <c r="F4" s="14" t="s">
        <v>129</v>
      </c>
      <c r="G4" s="14" t="s">
        <v>57</v>
      </c>
      <c r="H4" s="14" t="s">
        <v>60</v>
      </c>
    </row>
    <row r="5" customFormat="false" ht="23.85" hidden="false" customHeight="false" outlineLevel="0" collapsed="false">
      <c r="A5" s="6" t="s">
        <v>130</v>
      </c>
      <c r="B5" s="6" t="s">
        <v>131</v>
      </c>
      <c r="C5" s="6" t="s">
        <v>132</v>
      </c>
      <c r="D5" s="6" t="s">
        <v>133</v>
      </c>
      <c r="E5" s="15" t="s">
        <v>134</v>
      </c>
      <c r="F5" s="19"/>
      <c r="G5" s="15" t="s">
        <v>9</v>
      </c>
      <c r="H5" s="19"/>
    </row>
    <row r="6" customFormat="false" ht="23.85" hidden="false" customHeight="false" outlineLevel="0" collapsed="false">
      <c r="A6" s="6" t="s">
        <v>135</v>
      </c>
      <c r="B6" s="6" t="s">
        <v>136</v>
      </c>
      <c r="C6" s="6" t="s">
        <v>137</v>
      </c>
      <c r="D6" s="6" t="s">
        <v>138</v>
      </c>
      <c r="E6" s="15" t="s">
        <v>134</v>
      </c>
      <c r="F6" s="19"/>
      <c r="G6" s="15" t="s">
        <v>9</v>
      </c>
      <c r="H6" s="19"/>
    </row>
    <row r="7" customFormat="false" ht="23.85" hidden="false" customHeight="false" outlineLevel="0" collapsed="false">
      <c r="A7" s="6" t="s">
        <v>139</v>
      </c>
      <c r="B7" s="6" t="s">
        <v>140</v>
      </c>
      <c r="C7" s="6" t="s">
        <v>141</v>
      </c>
      <c r="D7" s="6" t="s">
        <v>142</v>
      </c>
      <c r="E7" s="15" t="s">
        <v>134</v>
      </c>
      <c r="F7" s="19"/>
      <c r="G7" s="15" t="s">
        <v>9</v>
      </c>
      <c r="H7" s="19"/>
    </row>
    <row r="8" customFormat="false" ht="23.85" hidden="false" customHeight="false" outlineLevel="0" collapsed="false">
      <c r="A8" s="6" t="s">
        <v>143</v>
      </c>
      <c r="B8" s="6" t="s">
        <v>144</v>
      </c>
      <c r="C8" s="6" t="s">
        <v>145</v>
      </c>
      <c r="D8" s="6" t="s">
        <v>146</v>
      </c>
      <c r="E8" s="15" t="s">
        <v>134</v>
      </c>
      <c r="F8" s="19"/>
      <c r="G8" s="15" t="s">
        <v>9</v>
      </c>
      <c r="H8" s="19"/>
    </row>
    <row r="9" customFormat="false" ht="23.85" hidden="false" customHeight="false" outlineLevel="0" collapsed="false">
      <c r="A9" s="6" t="s">
        <v>147</v>
      </c>
      <c r="B9" s="6" t="s">
        <v>148</v>
      </c>
      <c r="C9" s="6" t="s">
        <v>149</v>
      </c>
      <c r="D9" s="6" t="s">
        <v>150</v>
      </c>
      <c r="E9" s="15" t="s">
        <v>134</v>
      </c>
      <c r="F9" s="19"/>
      <c r="G9" s="15" t="s">
        <v>9</v>
      </c>
      <c r="H9" s="19"/>
    </row>
  </sheetData>
  <mergeCells count="1">
    <mergeCell ref="A2:H2"/>
  </mergeCells>
  <conditionalFormatting sqref="G5:G9">
    <cfRule type="cellIs" priority="2" operator="equal" aboveAverage="0" equalAverage="0" bottom="0" percent="0" rank="0" text="" dxfId="6">
      <formula>"Hoàn thành"</formula>
    </cfRule>
    <cfRule type="cellIs" priority="3" operator="equal" aboveAverage="0" equalAverage="0" bottom="0" percent="0" rank="0" text="" dxfId="7">
      <formula>"Đang làm"</formula>
    </cfRule>
    <cfRule type="cellIs" priority="4" operator="equal" aboveAverage="0" equalAverage="0" bottom="0" percent="0" rank="0" text="" dxfId="8">
      <formula>"Vướng"</formula>
    </cfRule>
  </conditionalFormatting>
  <dataValidations count="2">
    <dataValidation allowBlank="true" errorStyle="stop" operator="between" showDropDown="false" showErrorMessage="true" showInputMessage="false" sqref="E5:E9" type="list">
      <formula1>"Có,Không,Chưa rõ"</formula1>
      <formula2>0</formula2>
    </dataValidation>
    <dataValidation allowBlank="true" errorStyle="stop" operator="between" showDropDown="false" showErrorMessage="true" showInputMessage="false" sqref="G5:G9" type="list">
      <formula1>"Chưa bắt đầu,Đang làm,Hoàn thành,Vướng"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8"/>
    <col collapsed="false" customWidth="true" hidden="false" outlineLevel="0" max="6" min="5" style="0" width="22"/>
    <col collapsed="false" customWidth="true" hidden="false" outlineLevel="0" max="8" min="7" style="0" width="18"/>
    <col collapsed="false" customWidth="true" hidden="false" outlineLevel="0" max="10" min="9" style="0" width="12"/>
    <col collapsed="false" customWidth="true" hidden="false" outlineLevel="0" max="11" min="11" style="0" width="14"/>
    <col collapsed="false" customWidth="true" hidden="false" outlineLevel="0" max="12" min="12" style="0" width="30"/>
    <col collapsed="false" customWidth="true" hidden="false" outlineLevel="0" max="13" min="13" style="0" width="14"/>
    <col collapsed="false" customWidth="true" hidden="false" outlineLevel="0" max="14" min="14" style="0" width="22"/>
    <col collapsed="false" customWidth="true" hidden="false" outlineLevel="0" max="15" min="15" style="0" width="30"/>
  </cols>
  <sheetData>
    <row r="1" customFormat="false" ht="17.35" hidden="false" customHeight="false" outlineLevel="0" collapsed="false">
      <c r="A1" s="1" t="s">
        <v>151</v>
      </c>
    </row>
    <row r="2" customFormat="false" ht="30" hidden="false" customHeight="true" outlineLevel="0" collapsed="false">
      <c r="A2" s="13" t="s">
        <v>152</v>
      </c>
      <c r="B2" s="13"/>
      <c r="C2" s="13"/>
      <c r="D2" s="13"/>
      <c r="E2" s="13"/>
      <c r="F2" s="13"/>
      <c r="G2" s="13"/>
      <c r="H2" s="13"/>
      <c r="I2" s="13"/>
      <c r="J2" s="13"/>
      <c r="K2" s="13"/>
      <c r="L2" s="13"/>
      <c r="M2" s="13"/>
      <c r="N2" s="13"/>
      <c r="O2" s="13"/>
    </row>
    <row r="4" customFormat="false" ht="31.5" hidden="false" customHeight="true" outlineLevel="0" collapsed="false">
      <c r="A4" s="14" t="s">
        <v>50</v>
      </c>
      <c r="B4" s="14" t="s">
        <v>153</v>
      </c>
      <c r="C4" s="14" t="s">
        <v>154</v>
      </c>
      <c r="D4" s="14" t="s">
        <v>155</v>
      </c>
      <c r="E4" s="14" t="s">
        <v>156</v>
      </c>
      <c r="F4" s="14" t="s">
        <v>157</v>
      </c>
      <c r="G4" s="14" t="s">
        <v>158</v>
      </c>
      <c r="H4" s="14" t="s">
        <v>159</v>
      </c>
      <c r="I4" s="14" t="s">
        <v>160</v>
      </c>
      <c r="J4" s="14" t="s">
        <v>161</v>
      </c>
      <c r="K4" s="14" t="s">
        <v>162</v>
      </c>
      <c r="L4" s="14" t="s">
        <v>163</v>
      </c>
      <c r="M4" s="14" t="s">
        <v>164</v>
      </c>
      <c r="N4" s="14" t="s">
        <v>59</v>
      </c>
      <c r="O4" s="14" t="s">
        <v>60</v>
      </c>
    </row>
    <row r="5" customFormat="false" ht="15" hidden="false" customHeight="false" outlineLevel="0" collapsed="false">
      <c r="A5" s="20"/>
      <c r="B5" s="20" t="s">
        <v>165</v>
      </c>
      <c r="C5" s="20" t="s">
        <v>166</v>
      </c>
      <c r="D5" s="20" t="s">
        <v>167</v>
      </c>
      <c r="E5" s="20" t="s">
        <v>168</v>
      </c>
      <c r="F5" s="20" t="s">
        <v>169</v>
      </c>
      <c r="G5" s="20" t="s">
        <v>170</v>
      </c>
      <c r="H5" s="20" t="s">
        <v>27</v>
      </c>
      <c r="I5" s="20" t="s">
        <v>24</v>
      </c>
      <c r="J5" s="20" t="n">
        <v>4</v>
      </c>
      <c r="K5" s="21" t="n">
        <v>46328</v>
      </c>
      <c r="L5" s="20" t="s">
        <v>171</v>
      </c>
      <c r="M5" s="21" t="n">
        <v>46335</v>
      </c>
      <c r="N5" s="20"/>
      <c r="O5" s="20" t="s">
        <v>172</v>
      </c>
    </row>
    <row r="6" customFormat="false" ht="15" hidden="false" customHeight="false" outlineLevel="0" collapsed="false">
      <c r="A6" s="7" t="n">
        <v>1</v>
      </c>
      <c r="B6" s="19"/>
      <c r="C6" s="15"/>
      <c r="D6" s="19"/>
      <c r="E6" s="19"/>
      <c r="F6" s="19"/>
      <c r="G6" s="19"/>
      <c r="H6" s="15"/>
      <c r="I6" s="15"/>
      <c r="J6" s="15"/>
      <c r="K6" s="17"/>
      <c r="L6" s="19"/>
      <c r="M6" s="17"/>
      <c r="N6" s="22" t="str">
        <f aca="true">IF(B6="","",IF(AND(M6&lt;&gt;"",M6&lt;TODAY()),"Quá hạn việc tiếp theo",IF(AND(K6&lt;&gt;"",TODAY()-K6&gt;30),"Hơn 30 ngày chưa liên hệ","")))</f>
        <v/>
      </c>
      <c r="O6" s="19"/>
    </row>
    <row r="7" customFormat="false" ht="15" hidden="false" customHeight="false" outlineLevel="0" collapsed="false">
      <c r="A7" s="7" t="n">
        <v>2</v>
      </c>
      <c r="B7" s="19"/>
      <c r="C7" s="15"/>
      <c r="D7" s="19"/>
      <c r="E7" s="19"/>
      <c r="F7" s="19"/>
      <c r="G7" s="19"/>
      <c r="H7" s="15"/>
      <c r="I7" s="15"/>
      <c r="J7" s="15"/>
      <c r="K7" s="17"/>
      <c r="L7" s="19"/>
      <c r="M7" s="17"/>
      <c r="N7" s="22" t="str">
        <f aca="true">IF(B7="","",IF(AND(M7&lt;&gt;"",M7&lt;TODAY()),"Quá hạn việc tiếp theo",IF(AND(K7&lt;&gt;"",TODAY()-K7&gt;30),"Hơn 30 ngày chưa liên hệ","")))</f>
        <v/>
      </c>
      <c r="O7" s="19"/>
    </row>
    <row r="8" customFormat="false" ht="15" hidden="false" customHeight="false" outlineLevel="0" collapsed="false">
      <c r="A8" s="7" t="n">
        <v>3</v>
      </c>
      <c r="B8" s="19"/>
      <c r="C8" s="15"/>
      <c r="D8" s="19"/>
      <c r="E8" s="19"/>
      <c r="F8" s="19"/>
      <c r="G8" s="19"/>
      <c r="H8" s="15"/>
      <c r="I8" s="15"/>
      <c r="J8" s="15"/>
      <c r="K8" s="17"/>
      <c r="L8" s="19"/>
      <c r="M8" s="17"/>
      <c r="N8" s="22" t="str">
        <f aca="true">IF(B8="","",IF(AND(M8&lt;&gt;"",M8&lt;TODAY()),"Quá hạn việc tiếp theo",IF(AND(K8&lt;&gt;"",TODAY()-K8&gt;30),"Hơn 30 ngày chưa liên hệ","")))</f>
        <v/>
      </c>
      <c r="O8" s="19"/>
    </row>
    <row r="9" customFormat="false" ht="15" hidden="false" customHeight="false" outlineLevel="0" collapsed="false">
      <c r="A9" s="7" t="n">
        <v>4</v>
      </c>
      <c r="B9" s="19"/>
      <c r="C9" s="15"/>
      <c r="D9" s="19"/>
      <c r="E9" s="19"/>
      <c r="F9" s="19"/>
      <c r="G9" s="19"/>
      <c r="H9" s="15"/>
      <c r="I9" s="15"/>
      <c r="J9" s="15"/>
      <c r="K9" s="17"/>
      <c r="L9" s="19"/>
      <c r="M9" s="17"/>
      <c r="N9" s="22" t="str">
        <f aca="true">IF(B9="","",IF(AND(M9&lt;&gt;"",M9&lt;TODAY()),"Quá hạn việc tiếp theo",IF(AND(K9&lt;&gt;"",TODAY()-K9&gt;30),"Hơn 30 ngày chưa liên hệ","")))</f>
        <v/>
      </c>
      <c r="O9" s="19"/>
    </row>
    <row r="10" customFormat="false" ht="15" hidden="false" customHeight="false" outlineLevel="0" collapsed="false">
      <c r="A10" s="7" t="n">
        <v>5</v>
      </c>
      <c r="B10" s="19"/>
      <c r="C10" s="15"/>
      <c r="D10" s="19"/>
      <c r="E10" s="19"/>
      <c r="F10" s="19"/>
      <c r="G10" s="19"/>
      <c r="H10" s="15"/>
      <c r="I10" s="15"/>
      <c r="J10" s="15"/>
      <c r="K10" s="17"/>
      <c r="L10" s="19"/>
      <c r="M10" s="17"/>
      <c r="N10" s="22" t="str">
        <f aca="true">IF(B10="","",IF(AND(M10&lt;&gt;"",M10&lt;TODAY()),"Quá hạn việc tiếp theo",IF(AND(K10&lt;&gt;"",TODAY()-K10&gt;30),"Hơn 30 ngày chưa liên hệ","")))</f>
        <v/>
      </c>
      <c r="O10" s="19"/>
    </row>
    <row r="11" customFormat="false" ht="15" hidden="false" customHeight="false" outlineLevel="0" collapsed="false">
      <c r="A11" s="7" t="n">
        <v>6</v>
      </c>
      <c r="B11" s="19"/>
      <c r="C11" s="15"/>
      <c r="D11" s="19"/>
      <c r="E11" s="19"/>
      <c r="F11" s="19"/>
      <c r="G11" s="19"/>
      <c r="H11" s="15"/>
      <c r="I11" s="15"/>
      <c r="J11" s="15"/>
      <c r="K11" s="17"/>
      <c r="L11" s="19"/>
      <c r="M11" s="17"/>
      <c r="N11" s="22" t="str">
        <f aca="true">IF(B11="","",IF(AND(M11&lt;&gt;"",M11&lt;TODAY()),"Quá hạn việc tiếp theo",IF(AND(K11&lt;&gt;"",TODAY()-K11&gt;30),"Hơn 30 ngày chưa liên hệ","")))</f>
        <v/>
      </c>
      <c r="O11" s="19"/>
    </row>
    <row r="12" customFormat="false" ht="15" hidden="false" customHeight="false" outlineLevel="0" collapsed="false">
      <c r="A12" s="7" t="n">
        <v>7</v>
      </c>
      <c r="B12" s="19"/>
      <c r="C12" s="15"/>
      <c r="D12" s="19"/>
      <c r="E12" s="19"/>
      <c r="F12" s="19"/>
      <c r="G12" s="19"/>
      <c r="H12" s="15"/>
      <c r="I12" s="15"/>
      <c r="J12" s="15"/>
      <c r="K12" s="17"/>
      <c r="L12" s="19"/>
      <c r="M12" s="17"/>
      <c r="N12" s="22" t="str">
        <f aca="true">IF(B12="","",IF(AND(M12&lt;&gt;"",M12&lt;TODAY()),"Quá hạn việc tiếp theo",IF(AND(K12&lt;&gt;"",TODAY()-K12&gt;30),"Hơn 30 ngày chưa liên hệ","")))</f>
        <v/>
      </c>
      <c r="O12" s="19"/>
    </row>
    <row r="13" customFormat="false" ht="15" hidden="false" customHeight="false" outlineLevel="0" collapsed="false">
      <c r="A13" s="7" t="n">
        <v>8</v>
      </c>
      <c r="B13" s="19"/>
      <c r="C13" s="15"/>
      <c r="D13" s="19"/>
      <c r="E13" s="19"/>
      <c r="F13" s="19"/>
      <c r="G13" s="19"/>
      <c r="H13" s="15"/>
      <c r="I13" s="15"/>
      <c r="J13" s="15"/>
      <c r="K13" s="17"/>
      <c r="L13" s="19"/>
      <c r="M13" s="17"/>
      <c r="N13" s="22" t="str">
        <f aca="true">IF(B13="","",IF(AND(M13&lt;&gt;"",M13&lt;TODAY()),"Quá hạn việc tiếp theo",IF(AND(K13&lt;&gt;"",TODAY()-K13&gt;30),"Hơn 30 ngày chưa liên hệ","")))</f>
        <v/>
      </c>
      <c r="O13" s="19"/>
    </row>
    <row r="14" customFormat="false" ht="15" hidden="false" customHeight="false" outlineLevel="0" collapsed="false">
      <c r="A14" s="7" t="n">
        <v>9</v>
      </c>
      <c r="B14" s="19"/>
      <c r="C14" s="15"/>
      <c r="D14" s="19"/>
      <c r="E14" s="19"/>
      <c r="F14" s="19"/>
      <c r="G14" s="19"/>
      <c r="H14" s="15"/>
      <c r="I14" s="15"/>
      <c r="J14" s="15"/>
      <c r="K14" s="17"/>
      <c r="L14" s="19"/>
      <c r="M14" s="17"/>
      <c r="N14" s="22" t="str">
        <f aca="true">IF(B14="","",IF(AND(M14&lt;&gt;"",M14&lt;TODAY()),"Quá hạn việc tiếp theo",IF(AND(K14&lt;&gt;"",TODAY()-K14&gt;30),"Hơn 30 ngày chưa liên hệ","")))</f>
        <v/>
      </c>
      <c r="O14" s="19"/>
    </row>
    <row r="15" customFormat="false" ht="15" hidden="false" customHeight="false" outlineLevel="0" collapsed="false">
      <c r="A15" s="7" t="n">
        <v>10</v>
      </c>
      <c r="B15" s="19"/>
      <c r="C15" s="15"/>
      <c r="D15" s="19"/>
      <c r="E15" s="19"/>
      <c r="F15" s="19"/>
      <c r="G15" s="19"/>
      <c r="H15" s="15"/>
      <c r="I15" s="15"/>
      <c r="J15" s="15"/>
      <c r="K15" s="17"/>
      <c r="L15" s="19"/>
      <c r="M15" s="17"/>
      <c r="N15" s="22" t="str">
        <f aca="true">IF(B15="","",IF(AND(M15&lt;&gt;"",M15&lt;TODAY()),"Quá hạn việc tiếp theo",IF(AND(K15&lt;&gt;"",TODAY()-K15&gt;30),"Hơn 30 ngày chưa liên hệ","")))</f>
        <v/>
      </c>
      <c r="O15" s="19"/>
    </row>
    <row r="16" customFormat="false" ht="15" hidden="false" customHeight="false" outlineLevel="0" collapsed="false">
      <c r="A16" s="7" t="n">
        <v>11</v>
      </c>
      <c r="B16" s="19"/>
      <c r="C16" s="15"/>
      <c r="D16" s="19"/>
      <c r="E16" s="19"/>
      <c r="F16" s="19"/>
      <c r="G16" s="19"/>
      <c r="H16" s="15"/>
      <c r="I16" s="15"/>
      <c r="J16" s="15"/>
      <c r="K16" s="17"/>
      <c r="L16" s="19"/>
      <c r="M16" s="17"/>
      <c r="N16" s="22" t="str">
        <f aca="true">IF(B16="","",IF(AND(M16&lt;&gt;"",M16&lt;TODAY()),"Quá hạn việc tiếp theo",IF(AND(K16&lt;&gt;"",TODAY()-K16&gt;30),"Hơn 30 ngày chưa liên hệ","")))</f>
        <v/>
      </c>
      <c r="O16" s="19"/>
    </row>
    <row r="17" customFormat="false" ht="15" hidden="false" customHeight="false" outlineLevel="0" collapsed="false">
      <c r="A17" s="7" t="n">
        <v>12</v>
      </c>
      <c r="B17" s="19"/>
      <c r="C17" s="15"/>
      <c r="D17" s="19"/>
      <c r="E17" s="19"/>
      <c r="F17" s="19"/>
      <c r="G17" s="19"/>
      <c r="H17" s="15"/>
      <c r="I17" s="15"/>
      <c r="J17" s="15"/>
      <c r="K17" s="17"/>
      <c r="L17" s="19"/>
      <c r="M17" s="17"/>
      <c r="N17" s="22" t="str">
        <f aca="true">IF(B17="","",IF(AND(M17&lt;&gt;"",M17&lt;TODAY()),"Quá hạn việc tiếp theo",IF(AND(K17&lt;&gt;"",TODAY()-K17&gt;30),"Hơn 30 ngày chưa liên hệ","")))</f>
        <v/>
      </c>
      <c r="O17" s="19"/>
    </row>
    <row r="18" customFormat="false" ht="15" hidden="false" customHeight="false" outlineLevel="0" collapsed="false">
      <c r="A18" s="7" t="n">
        <v>13</v>
      </c>
      <c r="B18" s="19"/>
      <c r="C18" s="15"/>
      <c r="D18" s="19"/>
      <c r="E18" s="19"/>
      <c r="F18" s="19"/>
      <c r="G18" s="19"/>
      <c r="H18" s="15"/>
      <c r="I18" s="15"/>
      <c r="J18" s="15"/>
      <c r="K18" s="17"/>
      <c r="L18" s="19"/>
      <c r="M18" s="17"/>
      <c r="N18" s="22" t="str">
        <f aca="true">IF(B18="","",IF(AND(M18&lt;&gt;"",M18&lt;TODAY()),"Quá hạn việc tiếp theo",IF(AND(K18&lt;&gt;"",TODAY()-K18&gt;30),"Hơn 30 ngày chưa liên hệ","")))</f>
        <v/>
      </c>
      <c r="O18" s="19"/>
    </row>
    <row r="19" customFormat="false" ht="15" hidden="false" customHeight="false" outlineLevel="0" collapsed="false">
      <c r="A19" s="7" t="n">
        <v>14</v>
      </c>
      <c r="B19" s="19"/>
      <c r="C19" s="15"/>
      <c r="D19" s="19"/>
      <c r="E19" s="19"/>
      <c r="F19" s="19"/>
      <c r="G19" s="19"/>
      <c r="H19" s="15"/>
      <c r="I19" s="15"/>
      <c r="J19" s="15"/>
      <c r="K19" s="17"/>
      <c r="L19" s="19"/>
      <c r="M19" s="17"/>
      <c r="N19" s="22" t="str">
        <f aca="true">IF(B19="","",IF(AND(M19&lt;&gt;"",M19&lt;TODAY()),"Quá hạn việc tiếp theo",IF(AND(K19&lt;&gt;"",TODAY()-K19&gt;30),"Hơn 30 ngày chưa liên hệ","")))</f>
        <v/>
      </c>
      <c r="O19" s="19"/>
    </row>
    <row r="20" customFormat="false" ht="15" hidden="false" customHeight="false" outlineLevel="0" collapsed="false">
      <c r="A20" s="7" t="n">
        <v>15</v>
      </c>
      <c r="B20" s="19"/>
      <c r="C20" s="15"/>
      <c r="D20" s="19"/>
      <c r="E20" s="19"/>
      <c r="F20" s="19"/>
      <c r="G20" s="19"/>
      <c r="H20" s="15"/>
      <c r="I20" s="15"/>
      <c r="J20" s="15"/>
      <c r="K20" s="17"/>
      <c r="L20" s="19"/>
      <c r="M20" s="17"/>
      <c r="N20" s="22" t="str">
        <f aca="true">IF(B20="","",IF(AND(M20&lt;&gt;"",M20&lt;TODAY()),"Quá hạn việc tiếp theo",IF(AND(K20&lt;&gt;"",TODAY()-K20&gt;30),"Hơn 30 ngày chưa liên hệ","")))</f>
        <v/>
      </c>
      <c r="O20" s="19"/>
    </row>
    <row r="21" customFormat="false" ht="15" hidden="false" customHeight="false" outlineLevel="0" collapsed="false">
      <c r="A21" s="7" t="n">
        <v>16</v>
      </c>
      <c r="B21" s="19"/>
      <c r="C21" s="15"/>
      <c r="D21" s="19"/>
      <c r="E21" s="19"/>
      <c r="F21" s="19"/>
      <c r="G21" s="19"/>
      <c r="H21" s="15"/>
      <c r="I21" s="15"/>
      <c r="J21" s="15"/>
      <c r="K21" s="17"/>
      <c r="L21" s="19"/>
      <c r="M21" s="17"/>
      <c r="N21" s="22" t="str">
        <f aca="true">IF(B21="","",IF(AND(M21&lt;&gt;"",M21&lt;TODAY()),"Quá hạn việc tiếp theo",IF(AND(K21&lt;&gt;"",TODAY()-K21&gt;30),"Hơn 30 ngày chưa liên hệ","")))</f>
        <v/>
      </c>
      <c r="O21" s="19"/>
    </row>
    <row r="22" customFormat="false" ht="15" hidden="false" customHeight="false" outlineLevel="0" collapsed="false">
      <c r="A22" s="7" t="n">
        <v>17</v>
      </c>
      <c r="B22" s="19"/>
      <c r="C22" s="15"/>
      <c r="D22" s="19"/>
      <c r="E22" s="19"/>
      <c r="F22" s="19"/>
      <c r="G22" s="19"/>
      <c r="H22" s="15"/>
      <c r="I22" s="15"/>
      <c r="J22" s="15"/>
      <c r="K22" s="17"/>
      <c r="L22" s="19"/>
      <c r="M22" s="17"/>
      <c r="N22" s="22" t="str">
        <f aca="true">IF(B22="","",IF(AND(M22&lt;&gt;"",M22&lt;TODAY()),"Quá hạn việc tiếp theo",IF(AND(K22&lt;&gt;"",TODAY()-K22&gt;30),"Hơn 30 ngày chưa liên hệ","")))</f>
        <v/>
      </c>
      <c r="O22" s="19"/>
    </row>
    <row r="23" customFormat="false" ht="15" hidden="false" customHeight="false" outlineLevel="0" collapsed="false">
      <c r="A23" s="7" t="n">
        <v>18</v>
      </c>
      <c r="B23" s="19"/>
      <c r="C23" s="15"/>
      <c r="D23" s="19"/>
      <c r="E23" s="19"/>
      <c r="F23" s="19"/>
      <c r="G23" s="19"/>
      <c r="H23" s="15"/>
      <c r="I23" s="15"/>
      <c r="J23" s="15"/>
      <c r="K23" s="17"/>
      <c r="L23" s="19"/>
      <c r="M23" s="17"/>
      <c r="N23" s="22" t="str">
        <f aca="true">IF(B23="","",IF(AND(M23&lt;&gt;"",M23&lt;TODAY()),"Quá hạn việc tiếp theo",IF(AND(K23&lt;&gt;"",TODAY()-K23&gt;30),"Hơn 30 ngày chưa liên hệ","")))</f>
        <v/>
      </c>
      <c r="O23" s="19"/>
    </row>
    <row r="24" customFormat="false" ht="15" hidden="false" customHeight="false" outlineLevel="0" collapsed="false">
      <c r="A24" s="7" t="n">
        <v>19</v>
      </c>
      <c r="B24" s="19"/>
      <c r="C24" s="15"/>
      <c r="D24" s="19"/>
      <c r="E24" s="19"/>
      <c r="F24" s="19"/>
      <c r="G24" s="19"/>
      <c r="H24" s="15"/>
      <c r="I24" s="15"/>
      <c r="J24" s="15"/>
      <c r="K24" s="17"/>
      <c r="L24" s="19"/>
      <c r="M24" s="17"/>
      <c r="N24" s="22" t="str">
        <f aca="true">IF(B24="","",IF(AND(M24&lt;&gt;"",M24&lt;TODAY()),"Quá hạn việc tiếp theo",IF(AND(K24&lt;&gt;"",TODAY()-K24&gt;30),"Hơn 30 ngày chưa liên hệ","")))</f>
        <v/>
      </c>
      <c r="O24" s="19"/>
    </row>
    <row r="25" customFormat="false" ht="15" hidden="false" customHeight="false" outlineLevel="0" collapsed="false">
      <c r="A25" s="7" t="n">
        <v>20</v>
      </c>
      <c r="B25" s="19"/>
      <c r="C25" s="15"/>
      <c r="D25" s="19"/>
      <c r="E25" s="19"/>
      <c r="F25" s="19"/>
      <c r="G25" s="19"/>
      <c r="H25" s="15"/>
      <c r="I25" s="15"/>
      <c r="J25" s="15"/>
      <c r="K25" s="17"/>
      <c r="L25" s="19"/>
      <c r="M25" s="17"/>
      <c r="N25" s="22" t="str">
        <f aca="true">IF(B25="","",IF(AND(M25&lt;&gt;"",M25&lt;TODAY()),"Quá hạn việc tiếp theo",IF(AND(K25&lt;&gt;"",TODAY()-K25&gt;30),"Hơn 30 ngày chưa liên hệ","")))</f>
        <v/>
      </c>
      <c r="O25" s="19"/>
    </row>
    <row r="26" customFormat="false" ht="15" hidden="false" customHeight="false" outlineLevel="0" collapsed="false">
      <c r="A26" s="7" t="n">
        <v>21</v>
      </c>
      <c r="B26" s="19"/>
      <c r="C26" s="15"/>
      <c r="D26" s="19"/>
      <c r="E26" s="19"/>
      <c r="F26" s="19"/>
      <c r="G26" s="19"/>
      <c r="H26" s="15"/>
      <c r="I26" s="15"/>
      <c r="J26" s="15"/>
      <c r="K26" s="17"/>
      <c r="L26" s="19"/>
      <c r="M26" s="17"/>
      <c r="N26" s="22" t="str">
        <f aca="true">IF(B26="","",IF(AND(M26&lt;&gt;"",M26&lt;TODAY()),"Quá hạn việc tiếp theo",IF(AND(K26&lt;&gt;"",TODAY()-K26&gt;30),"Hơn 30 ngày chưa liên hệ","")))</f>
        <v/>
      </c>
      <c r="O26" s="19"/>
    </row>
    <row r="27" customFormat="false" ht="15" hidden="false" customHeight="false" outlineLevel="0" collapsed="false">
      <c r="A27" s="7" t="n">
        <v>22</v>
      </c>
      <c r="B27" s="19"/>
      <c r="C27" s="15"/>
      <c r="D27" s="19"/>
      <c r="E27" s="19"/>
      <c r="F27" s="19"/>
      <c r="G27" s="19"/>
      <c r="H27" s="15"/>
      <c r="I27" s="15"/>
      <c r="J27" s="15"/>
      <c r="K27" s="17"/>
      <c r="L27" s="19"/>
      <c r="M27" s="17"/>
      <c r="N27" s="22" t="str">
        <f aca="true">IF(B27="","",IF(AND(M27&lt;&gt;"",M27&lt;TODAY()),"Quá hạn việc tiếp theo",IF(AND(K27&lt;&gt;"",TODAY()-K27&gt;30),"Hơn 30 ngày chưa liên hệ","")))</f>
        <v/>
      </c>
      <c r="O27" s="19"/>
    </row>
    <row r="28" customFormat="false" ht="15" hidden="false" customHeight="false" outlineLevel="0" collapsed="false">
      <c r="A28" s="7" t="n">
        <v>23</v>
      </c>
      <c r="B28" s="19"/>
      <c r="C28" s="15"/>
      <c r="D28" s="19"/>
      <c r="E28" s="19"/>
      <c r="F28" s="19"/>
      <c r="G28" s="19"/>
      <c r="H28" s="15"/>
      <c r="I28" s="15"/>
      <c r="J28" s="15"/>
      <c r="K28" s="17"/>
      <c r="L28" s="19"/>
      <c r="M28" s="17"/>
      <c r="N28" s="22" t="str">
        <f aca="true">IF(B28="","",IF(AND(M28&lt;&gt;"",M28&lt;TODAY()),"Quá hạn việc tiếp theo",IF(AND(K28&lt;&gt;"",TODAY()-K28&gt;30),"Hơn 30 ngày chưa liên hệ","")))</f>
        <v/>
      </c>
      <c r="O28" s="19"/>
    </row>
    <row r="29" customFormat="false" ht="15" hidden="false" customHeight="false" outlineLevel="0" collapsed="false">
      <c r="A29" s="7" t="n">
        <v>24</v>
      </c>
      <c r="B29" s="19"/>
      <c r="C29" s="15"/>
      <c r="D29" s="19"/>
      <c r="E29" s="19"/>
      <c r="F29" s="19"/>
      <c r="G29" s="19"/>
      <c r="H29" s="15"/>
      <c r="I29" s="15"/>
      <c r="J29" s="15"/>
      <c r="K29" s="17"/>
      <c r="L29" s="19"/>
      <c r="M29" s="17"/>
      <c r="N29" s="22" t="str">
        <f aca="true">IF(B29="","",IF(AND(M29&lt;&gt;"",M29&lt;TODAY()),"Quá hạn việc tiếp theo",IF(AND(K29&lt;&gt;"",TODAY()-K29&gt;30),"Hơn 30 ngày chưa liên hệ","")))</f>
        <v/>
      </c>
      <c r="O29" s="19"/>
    </row>
    <row r="30" customFormat="false" ht="15" hidden="false" customHeight="false" outlineLevel="0" collapsed="false">
      <c r="A30" s="7" t="n">
        <v>25</v>
      </c>
      <c r="B30" s="19"/>
      <c r="C30" s="15"/>
      <c r="D30" s="19"/>
      <c r="E30" s="19"/>
      <c r="F30" s="19"/>
      <c r="G30" s="19"/>
      <c r="H30" s="15"/>
      <c r="I30" s="15"/>
      <c r="J30" s="15"/>
      <c r="K30" s="17"/>
      <c r="L30" s="19"/>
      <c r="M30" s="17"/>
      <c r="N30" s="22" t="str">
        <f aca="true">IF(B30="","",IF(AND(M30&lt;&gt;"",M30&lt;TODAY()),"Quá hạn việc tiếp theo",IF(AND(K30&lt;&gt;"",TODAY()-K30&gt;30),"Hơn 30 ngày chưa liên hệ","")))</f>
        <v/>
      </c>
      <c r="O30" s="19"/>
    </row>
    <row r="31" customFormat="false" ht="15" hidden="false" customHeight="false" outlineLevel="0" collapsed="false">
      <c r="A31" s="7" t="n">
        <v>26</v>
      </c>
      <c r="B31" s="19"/>
      <c r="C31" s="15"/>
      <c r="D31" s="19"/>
      <c r="E31" s="19"/>
      <c r="F31" s="19"/>
      <c r="G31" s="19"/>
      <c r="H31" s="15"/>
      <c r="I31" s="15"/>
      <c r="J31" s="15"/>
      <c r="K31" s="17"/>
      <c r="L31" s="19"/>
      <c r="M31" s="17"/>
      <c r="N31" s="22" t="str">
        <f aca="true">IF(B31="","",IF(AND(M31&lt;&gt;"",M31&lt;TODAY()),"Quá hạn việc tiếp theo",IF(AND(K31&lt;&gt;"",TODAY()-K31&gt;30),"Hơn 30 ngày chưa liên hệ","")))</f>
        <v/>
      </c>
      <c r="O31" s="19"/>
    </row>
    <row r="32" customFormat="false" ht="15" hidden="false" customHeight="false" outlineLevel="0" collapsed="false">
      <c r="A32" s="7" t="n">
        <v>27</v>
      </c>
      <c r="B32" s="19"/>
      <c r="C32" s="15"/>
      <c r="D32" s="19"/>
      <c r="E32" s="19"/>
      <c r="F32" s="19"/>
      <c r="G32" s="19"/>
      <c r="H32" s="15"/>
      <c r="I32" s="15"/>
      <c r="J32" s="15"/>
      <c r="K32" s="17"/>
      <c r="L32" s="19"/>
      <c r="M32" s="17"/>
      <c r="N32" s="22" t="str">
        <f aca="true">IF(B32="","",IF(AND(M32&lt;&gt;"",M32&lt;TODAY()),"Quá hạn việc tiếp theo",IF(AND(K32&lt;&gt;"",TODAY()-K32&gt;30),"Hơn 30 ngày chưa liên hệ","")))</f>
        <v/>
      </c>
      <c r="O32" s="19"/>
    </row>
    <row r="33" customFormat="false" ht="15" hidden="false" customHeight="false" outlineLevel="0" collapsed="false">
      <c r="A33" s="7" t="n">
        <v>28</v>
      </c>
      <c r="B33" s="19"/>
      <c r="C33" s="15"/>
      <c r="D33" s="19"/>
      <c r="E33" s="19"/>
      <c r="F33" s="19"/>
      <c r="G33" s="19"/>
      <c r="H33" s="15"/>
      <c r="I33" s="15"/>
      <c r="J33" s="15"/>
      <c r="K33" s="17"/>
      <c r="L33" s="19"/>
      <c r="M33" s="17"/>
      <c r="N33" s="22" t="str">
        <f aca="true">IF(B33="","",IF(AND(M33&lt;&gt;"",M33&lt;TODAY()),"Quá hạn việc tiếp theo",IF(AND(K33&lt;&gt;"",TODAY()-K33&gt;30),"Hơn 30 ngày chưa liên hệ","")))</f>
        <v/>
      </c>
      <c r="O33" s="19"/>
    </row>
    <row r="34" customFormat="false" ht="15" hidden="false" customHeight="false" outlineLevel="0" collapsed="false">
      <c r="A34" s="7" t="n">
        <v>29</v>
      </c>
      <c r="B34" s="19"/>
      <c r="C34" s="15"/>
      <c r="D34" s="19"/>
      <c r="E34" s="19"/>
      <c r="F34" s="19"/>
      <c r="G34" s="19"/>
      <c r="H34" s="15"/>
      <c r="I34" s="15"/>
      <c r="J34" s="15"/>
      <c r="K34" s="17"/>
      <c r="L34" s="19"/>
      <c r="M34" s="17"/>
      <c r="N34" s="22" t="str">
        <f aca="true">IF(B34="","",IF(AND(M34&lt;&gt;"",M34&lt;TODAY()),"Quá hạn việc tiếp theo",IF(AND(K34&lt;&gt;"",TODAY()-K34&gt;30),"Hơn 30 ngày chưa liên hệ","")))</f>
        <v/>
      </c>
      <c r="O34" s="19"/>
    </row>
    <row r="35" customFormat="false" ht="15" hidden="false" customHeight="false" outlineLevel="0" collapsed="false">
      <c r="A35" s="7" t="n">
        <v>30</v>
      </c>
      <c r="B35" s="19"/>
      <c r="C35" s="15"/>
      <c r="D35" s="19"/>
      <c r="E35" s="19"/>
      <c r="F35" s="19"/>
      <c r="G35" s="19"/>
      <c r="H35" s="15"/>
      <c r="I35" s="15"/>
      <c r="J35" s="15"/>
      <c r="K35" s="17"/>
      <c r="L35" s="19"/>
      <c r="M35" s="17"/>
      <c r="N35" s="22" t="str">
        <f aca="true">IF(B35="","",IF(AND(M35&lt;&gt;"",M35&lt;TODAY()),"Quá hạn việc tiếp theo",IF(AND(K35&lt;&gt;"",TODAY()-K35&gt;30),"Hơn 30 ngày chưa liên hệ","")))</f>
        <v/>
      </c>
      <c r="O35" s="19"/>
    </row>
    <row r="36" customFormat="false" ht="15" hidden="false" customHeight="false" outlineLevel="0" collapsed="false">
      <c r="A36" s="7" t="n">
        <v>31</v>
      </c>
      <c r="B36" s="19"/>
      <c r="C36" s="15"/>
      <c r="D36" s="19"/>
      <c r="E36" s="19"/>
      <c r="F36" s="19"/>
      <c r="G36" s="19"/>
      <c r="H36" s="15"/>
      <c r="I36" s="15"/>
      <c r="J36" s="15"/>
      <c r="K36" s="17"/>
      <c r="L36" s="19"/>
      <c r="M36" s="17"/>
      <c r="N36" s="22" t="str">
        <f aca="true">IF(B36="","",IF(AND(M36&lt;&gt;"",M36&lt;TODAY()),"Quá hạn việc tiếp theo",IF(AND(K36&lt;&gt;"",TODAY()-K36&gt;30),"Hơn 30 ngày chưa liên hệ","")))</f>
        <v/>
      </c>
      <c r="O36" s="19"/>
    </row>
    <row r="37" customFormat="false" ht="15" hidden="false" customHeight="false" outlineLevel="0" collapsed="false">
      <c r="A37" s="7" t="n">
        <v>32</v>
      </c>
      <c r="B37" s="19"/>
      <c r="C37" s="15"/>
      <c r="D37" s="19"/>
      <c r="E37" s="19"/>
      <c r="F37" s="19"/>
      <c r="G37" s="19"/>
      <c r="H37" s="15"/>
      <c r="I37" s="15"/>
      <c r="J37" s="15"/>
      <c r="K37" s="17"/>
      <c r="L37" s="19"/>
      <c r="M37" s="17"/>
      <c r="N37" s="22" t="str">
        <f aca="true">IF(B37="","",IF(AND(M37&lt;&gt;"",M37&lt;TODAY()),"Quá hạn việc tiếp theo",IF(AND(K37&lt;&gt;"",TODAY()-K37&gt;30),"Hơn 30 ngày chưa liên hệ","")))</f>
        <v/>
      </c>
      <c r="O37" s="19"/>
    </row>
    <row r="38" customFormat="false" ht="15" hidden="false" customHeight="false" outlineLevel="0" collapsed="false">
      <c r="A38" s="7" t="n">
        <v>33</v>
      </c>
      <c r="B38" s="19"/>
      <c r="C38" s="15"/>
      <c r="D38" s="19"/>
      <c r="E38" s="19"/>
      <c r="F38" s="19"/>
      <c r="G38" s="19"/>
      <c r="H38" s="15"/>
      <c r="I38" s="15"/>
      <c r="J38" s="15"/>
      <c r="K38" s="17"/>
      <c r="L38" s="19"/>
      <c r="M38" s="17"/>
      <c r="N38" s="22" t="str">
        <f aca="true">IF(B38="","",IF(AND(M38&lt;&gt;"",M38&lt;TODAY()),"Quá hạn việc tiếp theo",IF(AND(K38&lt;&gt;"",TODAY()-K38&gt;30),"Hơn 30 ngày chưa liên hệ","")))</f>
        <v/>
      </c>
      <c r="O38" s="19"/>
    </row>
    <row r="39" customFormat="false" ht="15" hidden="false" customHeight="false" outlineLevel="0" collapsed="false">
      <c r="A39" s="7" t="n">
        <v>34</v>
      </c>
      <c r="B39" s="19"/>
      <c r="C39" s="15"/>
      <c r="D39" s="19"/>
      <c r="E39" s="19"/>
      <c r="F39" s="19"/>
      <c r="G39" s="19"/>
      <c r="H39" s="15"/>
      <c r="I39" s="15"/>
      <c r="J39" s="15"/>
      <c r="K39" s="17"/>
      <c r="L39" s="19"/>
      <c r="M39" s="17"/>
      <c r="N39" s="22" t="str">
        <f aca="true">IF(B39="","",IF(AND(M39&lt;&gt;"",M39&lt;TODAY()),"Quá hạn việc tiếp theo",IF(AND(K39&lt;&gt;"",TODAY()-K39&gt;30),"Hơn 30 ngày chưa liên hệ","")))</f>
        <v/>
      </c>
      <c r="O39" s="19"/>
    </row>
    <row r="40" customFormat="false" ht="15" hidden="false" customHeight="false" outlineLevel="0" collapsed="false">
      <c r="A40" s="7" t="n">
        <v>35</v>
      </c>
      <c r="B40" s="19"/>
      <c r="C40" s="15"/>
      <c r="D40" s="19"/>
      <c r="E40" s="19"/>
      <c r="F40" s="19"/>
      <c r="G40" s="19"/>
      <c r="H40" s="15"/>
      <c r="I40" s="15"/>
      <c r="J40" s="15"/>
      <c r="K40" s="17"/>
      <c r="L40" s="19"/>
      <c r="M40" s="17"/>
      <c r="N40" s="22" t="str">
        <f aca="true">IF(B40="","",IF(AND(M40&lt;&gt;"",M40&lt;TODAY()),"Quá hạn việc tiếp theo",IF(AND(K40&lt;&gt;"",TODAY()-K40&gt;30),"Hơn 30 ngày chưa liên hệ","")))</f>
        <v/>
      </c>
      <c r="O40" s="19"/>
    </row>
    <row r="41" customFormat="false" ht="15" hidden="false" customHeight="false" outlineLevel="0" collapsed="false">
      <c r="A41" s="7" t="n">
        <v>36</v>
      </c>
      <c r="B41" s="19"/>
      <c r="C41" s="15"/>
      <c r="D41" s="19"/>
      <c r="E41" s="19"/>
      <c r="F41" s="19"/>
      <c r="G41" s="19"/>
      <c r="H41" s="15"/>
      <c r="I41" s="15"/>
      <c r="J41" s="15"/>
      <c r="K41" s="17"/>
      <c r="L41" s="19"/>
      <c r="M41" s="17"/>
      <c r="N41" s="22" t="str">
        <f aca="true">IF(B41="","",IF(AND(M41&lt;&gt;"",M41&lt;TODAY()),"Quá hạn việc tiếp theo",IF(AND(K41&lt;&gt;"",TODAY()-K41&gt;30),"Hơn 30 ngày chưa liên hệ","")))</f>
        <v/>
      </c>
      <c r="O41" s="19"/>
    </row>
    <row r="42" customFormat="false" ht="15" hidden="false" customHeight="false" outlineLevel="0" collapsed="false">
      <c r="A42" s="7" t="n">
        <v>37</v>
      </c>
      <c r="B42" s="19"/>
      <c r="C42" s="15"/>
      <c r="D42" s="19"/>
      <c r="E42" s="19"/>
      <c r="F42" s="19"/>
      <c r="G42" s="19"/>
      <c r="H42" s="15"/>
      <c r="I42" s="15"/>
      <c r="J42" s="15"/>
      <c r="K42" s="17"/>
      <c r="L42" s="19"/>
      <c r="M42" s="17"/>
      <c r="N42" s="22" t="str">
        <f aca="true">IF(B42="","",IF(AND(M42&lt;&gt;"",M42&lt;TODAY()),"Quá hạn việc tiếp theo",IF(AND(K42&lt;&gt;"",TODAY()-K42&gt;30),"Hơn 30 ngày chưa liên hệ","")))</f>
        <v/>
      </c>
      <c r="O42" s="19"/>
    </row>
    <row r="43" customFormat="false" ht="15" hidden="false" customHeight="false" outlineLevel="0" collapsed="false">
      <c r="A43" s="7" t="n">
        <v>38</v>
      </c>
      <c r="B43" s="19"/>
      <c r="C43" s="15"/>
      <c r="D43" s="19"/>
      <c r="E43" s="19"/>
      <c r="F43" s="19"/>
      <c r="G43" s="19"/>
      <c r="H43" s="15"/>
      <c r="I43" s="15"/>
      <c r="J43" s="15"/>
      <c r="K43" s="17"/>
      <c r="L43" s="19"/>
      <c r="M43" s="17"/>
      <c r="N43" s="22" t="str">
        <f aca="true">IF(B43="","",IF(AND(M43&lt;&gt;"",M43&lt;TODAY()),"Quá hạn việc tiếp theo",IF(AND(K43&lt;&gt;"",TODAY()-K43&gt;30),"Hơn 30 ngày chưa liên hệ","")))</f>
        <v/>
      </c>
      <c r="O43" s="19"/>
    </row>
    <row r="44" customFormat="false" ht="15" hidden="false" customHeight="false" outlineLevel="0" collapsed="false">
      <c r="A44" s="7" t="n">
        <v>39</v>
      </c>
      <c r="B44" s="19"/>
      <c r="C44" s="15"/>
      <c r="D44" s="19"/>
      <c r="E44" s="19"/>
      <c r="F44" s="19"/>
      <c r="G44" s="19"/>
      <c r="H44" s="15"/>
      <c r="I44" s="15"/>
      <c r="J44" s="15"/>
      <c r="K44" s="17"/>
      <c r="L44" s="19"/>
      <c r="M44" s="17"/>
      <c r="N44" s="22" t="str">
        <f aca="true">IF(B44="","",IF(AND(M44&lt;&gt;"",M44&lt;TODAY()),"Quá hạn việc tiếp theo",IF(AND(K44&lt;&gt;"",TODAY()-K44&gt;30),"Hơn 30 ngày chưa liên hệ","")))</f>
        <v/>
      </c>
      <c r="O44" s="19"/>
    </row>
    <row r="45" customFormat="false" ht="15" hidden="false" customHeight="false" outlineLevel="0" collapsed="false">
      <c r="A45" s="7" t="n">
        <v>40</v>
      </c>
      <c r="B45" s="19"/>
      <c r="C45" s="15"/>
      <c r="D45" s="19"/>
      <c r="E45" s="19"/>
      <c r="F45" s="19"/>
      <c r="G45" s="19"/>
      <c r="H45" s="15"/>
      <c r="I45" s="15"/>
      <c r="J45" s="15"/>
      <c r="K45" s="17"/>
      <c r="L45" s="19"/>
      <c r="M45" s="17"/>
      <c r="N45" s="22" t="str">
        <f aca="true">IF(B45="","",IF(AND(M45&lt;&gt;"",M45&lt;TODAY()),"Quá hạn việc tiếp theo",IF(AND(K45&lt;&gt;"",TODAY()-K45&gt;30),"Hơn 30 ngày chưa liên hệ","")))</f>
        <v/>
      </c>
      <c r="O45" s="19"/>
    </row>
    <row r="46" customFormat="false" ht="15" hidden="false" customHeight="false" outlineLevel="0" collapsed="false">
      <c r="A46" s="7" t="n">
        <v>41</v>
      </c>
      <c r="B46" s="19"/>
      <c r="C46" s="15"/>
      <c r="D46" s="19"/>
      <c r="E46" s="19"/>
      <c r="F46" s="19"/>
      <c r="G46" s="19"/>
      <c r="H46" s="15"/>
      <c r="I46" s="15"/>
      <c r="J46" s="15"/>
      <c r="K46" s="17"/>
      <c r="L46" s="19"/>
      <c r="M46" s="17"/>
      <c r="N46" s="22" t="str">
        <f aca="true">IF(B46="","",IF(AND(M46&lt;&gt;"",M46&lt;TODAY()),"Quá hạn việc tiếp theo",IF(AND(K46&lt;&gt;"",TODAY()-K46&gt;30),"Hơn 30 ngày chưa liên hệ","")))</f>
        <v/>
      </c>
      <c r="O46" s="19"/>
    </row>
    <row r="47" customFormat="false" ht="15" hidden="false" customHeight="false" outlineLevel="0" collapsed="false">
      <c r="A47" s="7" t="n">
        <v>42</v>
      </c>
      <c r="B47" s="19"/>
      <c r="C47" s="15"/>
      <c r="D47" s="19"/>
      <c r="E47" s="19"/>
      <c r="F47" s="19"/>
      <c r="G47" s="19"/>
      <c r="H47" s="15"/>
      <c r="I47" s="15"/>
      <c r="J47" s="15"/>
      <c r="K47" s="17"/>
      <c r="L47" s="19"/>
      <c r="M47" s="17"/>
      <c r="N47" s="22" t="str">
        <f aca="true">IF(B47="","",IF(AND(M47&lt;&gt;"",M47&lt;TODAY()),"Quá hạn việc tiếp theo",IF(AND(K47&lt;&gt;"",TODAY()-K47&gt;30),"Hơn 30 ngày chưa liên hệ","")))</f>
        <v/>
      </c>
      <c r="O47" s="19"/>
    </row>
    <row r="48" customFormat="false" ht="15" hidden="false" customHeight="false" outlineLevel="0" collapsed="false">
      <c r="A48" s="7" t="n">
        <v>43</v>
      </c>
      <c r="B48" s="19"/>
      <c r="C48" s="15"/>
      <c r="D48" s="19"/>
      <c r="E48" s="19"/>
      <c r="F48" s="19"/>
      <c r="G48" s="19"/>
      <c r="H48" s="15"/>
      <c r="I48" s="15"/>
      <c r="J48" s="15"/>
      <c r="K48" s="17"/>
      <c r="L48" s="19"/>
      <c r="M48" s="17"/>
      <c r="N48" s="22" t="str">
        <f aca="true">IF(B48="","",IF(AND(M48&lt;&gt;"",M48&lt;TODAY()),"Quá hạn việc tiếp theo",IF(AND(K48&lt;&gt;"",TODAY()-K48&gt;30),"Hơn 30 ngày chưa liên hệ","")))</f>
        <v/>
      </c>
      <c r="O48" s="19"/>
    </row>
    <row r="49" customFormat="false" ht="15" hidden="false" customHeight="false" outlineLevel="0" collapsed="false">
      <c r="A49" s="7" t="n">
        <v>44</v>
      </c>
      <c r="B49" s="19"/>
      <c r="C49" s="15"/>
      <c r="D49" s="19"/>
      <c r="E49" s="19"/>
      <c r="F49" s="19"/>
      <c r="G49" s="19"/>
      <c r="H49" s="15"/>
      <c r="I49" s="15"/>
      <c r="J49" s="15"/>
      <c r="K49" s="17"/>
      <c r="L49" s="19"/>
      <c r="M49" s="17"/>
      <c r="N49" s="22" t="str">
        <f aca="true">IF(B49="","",IF(AND(M49&lt;&gt;"",M49&lt;TODAY()),"Quá hạn việc tiếp theo",IF(AND(K49&lt;&gt;"",TODAY()-K49&gt;30),"Hơn 30 ngày chưa liên hệ","")))</f>
        <v/>
      </c>
      <c r="O49" s="19"/>
    </row>
    <row r="50" customFormat="false" ht="15" hidden="false" customHeight="false" outlineLevel="0" collapsed="false">
      <c r="A50" s="7" t="n">
        <v>45</v>
      </c>
      <c r="B50" s="19"/>
      <c r="C50" s="15"/>
      <c r="D50" s="19"/>
      <c r="E50" s="19"/>
      <c r="F50" s="19"/>
      <c r="G50" s="19"/>
      <c r="H50" s="15"/>
      <c r="I50" s="15"/>
      <c r="J50" s="15"/>
      <c r="K50" s="17"/>
      <c r="L50" s="19"/>
      <c r="M50" s="17"/>
      <c r="N50" s="22" t="str">
        <f aca="true">IF(B50="","",IF(AND(M50&lt;&gt;"",M50&lt;TODAY()),"Quá hạn việc tiếp theo",IF(AND(K50&lt;&gt;"",TODAY()-K50&gt;30),"Hơn 30 ngày chưa liên hệ","")))</f>
        <v/>
      </c>
      <c r="O50" s="19"/>
    </row>
    <row r="51" customFormat="false" ht="15" hidden="false" customHeight="false" outlineLevel="0" collapsed="false">
      <c r="A51" s="7" t="n">
        <v>46</v>
      </c>
      <c r="B51" s="19"/>
      <c r="C51" s="15"/>
      <c r="D51" s="19"/>
      <c r="E51" s="19"/>
      <c r="F51" s="19"/>
      <c r="G51" s="19"/>
      <c r="H51" s="15"/>
      <c r="I51" s="15"/>
      <c r="J51" s="15"/>
      <c r="K51" s="17"/>
      <c r="L51" s="19"/>
      <c r="M51" s="17"/>
      <c r="N51" s="22" t="str">
        <f aca="true">IF(B51="","",IF(AND(M51&lt;&gt;"",M51&lt;TODAY()),"Quá hạn việc tiếp theo",IF(AND(K51&lt;&gt;"",TODAY()-K51&gt;30),"Hơn 30 ngày chưa liên hệ","")))</f>
        <v/>
      </c>
      <c r="O51" s="19"/>
    </row>
    <row r="52" customFormat="false" ht="15" hidden="false" customHeight="false" outlineLevel="0" collapsed="false">
      <c r="A52" s="7" t="n">
        <v>47</v>
      </c>
      <c r="B52" s="19"/>
      <c r="C52" s="15"/>
      <c r="D52" s="19"/>
      <c r="E52" s="19"/>
      <c r="F52" s="19"/>
      <c r="G52" s="19"/>
      <c r="H52" s="15"/>
      <c r="I52" s="15"/>
      <c r="J52" s="15"/>
      <c r="K52" s="17"/>
      <c r="L52" s="19"/>
      <c r="M52" s="17"/>
      <c r="N52" s="22" t="str">
        <f aca="true">IF(B52="","",IF(AND(M52&lt;&gt;"",M52&lt;TODAY()),"Quá hạn việc tiếp theo",IF(AND(K52&lt;&gt;"",TODAY()-K52&gt;30),"Hơn 30 ngày chưa liên hệ","")))</f>
        <v/>
      </c>
      <c r="O52" s="19"/>
    </row>
    <row r="53" customFormat="false" ht="15" hidden="false" customHeight="false" outlineLevel="0" collapsed="false">
      <c r="A53" s="7" t="n">
        <v>48</v>
      </c>
      <c r="B53" s="19"/>
      <c r="C53" s="15"/>
      <c r="D53" s="19"/>
      <c r="E53" s="19"/>
      <c r="F53" s="19"/>
      <c r="G53" s="19"/>
      <c r="H53" s="15"/>
      <c r="I53" s="15"/>
      <c r="J53" s="15"/>
      <c r="K53" s="17"/>
      <c r="L53" s="19"/>
      <c r="M53" s="17"/>
      <c r="N53" s="22" t="str">
        <f aca="true">IF(B53="","",IF(AND(M53&lt;&gt;"",M53&lt;TODAY()),"Quá hạn việc tiếp theo",IF(AND(K53&lt;&gt;"",TODAY()-K53&gt;30),"Hơn 30 ngày chưa liên hệ","")))</f>
        <v/>
      </c>
      <c r="O53" s="19"/>
    </row>
    <row r="54" customFormat="false" ht="15" hidden="false" customHeight="false" outlineLevel="0" collapsed="false">
      <c r="A54" s="7" t="n">
        <v>49</v>
      </c>
      <c r="B54" s="19"/>
      <c r="C54" s="15"/>
      <c r="D54" s="19"/>
      <c r="E54" s="19"/>
      <c r="F54" s="19"/>
      <c r="G54" s="19"/>
      <c r="H54" s="15"/>
      <c r="I54" s="15"/>
      <c r="J54" s="15"/>
      <c r="K54" s="17"/>
      <c r="L54" s="19"/>
      <c r="M54" s="17"/>
      <c r="N54" s="22" t="str">
        <f aca="true">IF(B54="","",IF(AND(M54&lt;&gt;"",M54&lt;TODAY()),"Quá hạn việc tiếp theo",IF(AND(K54&lt;&gt;"",TODAY()-K54&gt;30),"Hơn 30 ngày chưa liên hệ","")))</f>
        <v/>
      </c>
      <c r="O54" s="19"/>
    </row>
    <row r="55" customFormat="false" ht="15" hidden="false" customHeight="false" outlineLevel="0" collapsed="false">
      <c r="A55" s="7" t="n">
        <v>50</v>
      </c>
      <c r="B55" s="19"/>
      <c r="C55" s="15"/>
      <c r="D55" s="19"/>
      <c r="E55" s="19"/>
      <c r="F55" s="19"/>
      <c r="G55" s="19"/>
      <c r="H55" s="15"/>
      <c r="I55" s="15"/>
      <c r="J55" s="15"/>
      <c r="K55" s="17"/>
      <c r="L55" s="19"/>
      <c r="M55" s="17"/>
      <c r="N55" s="22" t="str">
        <f aca="true">IF(B55="","",IF(AND(M55&lt;&gt;"",M55&lt;TODAY()),"Quá hạn việc tiếp theo",IF(AND(K55&lt;&gt;"",TODAY()-K55&gt;30),"Hơn 30 ngày chưa liên hệ","")))</f>
        <v/>
      </c>
      <c r="O55" s="19"/>
    </row>
    <row r="56" customFormat="false" ht="15" hidden="false" customHeight="false" outlineLevel="0" collapsed="false">
      <c r="A56" s="7" t="n">
        <v>51</v>
      </c>
      <c r="B56" s="19"/>
      <c r="C56" s="15"/>
      <c r="D56" s="19"/>
      <c r="E56" s="19"/>
      <c r="F56" s="19"/>
      <c r="G56" s="19"/>
      <c r="H56" s="15"/>
      <c r="I56" s="15"/>
      <c r="J56" s="15"/>
      <c r="K56" s="17"/>
      <c r="L56" s="19"/>
      <c r="M56" s="17"/>
      <c r="N56" s="22" t="str">
        <f aca="true">IF(B56="","",IF(AND(M56&lt;&gt;"",M56&lt;TODAY()),"Quá hạn việc tiếp theo",IF(AND(K56&lt;&gt;"",TODAY()-K56&gt;30),"Hơn 30 ngày chưa liên hệ","")))</f>
        <v/>
      </c>
      <c r="O56" s="19"/>
    </row>
    <row r="57" customFormat="false" ht="15" hidden="false" customHeight="false" outlineLevel="0" collapsed="false">
      <c r="A57" s="7" t="n">
        <v>52</v>
      </c>
      <c r="B57" s="19"/>
      <c r="C57" s="15"/>
      <c r="D57" s="19"/>
      <c r="E57" s="19"/>
      <c r="F57" s="19"/>
      <c r="G57" s="19"/>
      <c r="H57" s="15"/>
      <c r="I57" s="15"/>
      <c r="J57" s="15"/>
      <c r="K57" s="17"/>
      <c r="L57" s="19"/>
      <c r="M57" s="17"/>
      <c r="N57" s="22" t="str">
        <f aca="true">IF(B57="","",IF(AND(M57&lt;&gt;"",M57&lt;TODAY()),"Quá hạn việc tiếp theo",IF(AND(K57&lt;&gt;"",TODAY()-K57&gt;30),"Hơn 30 ngày chưa liên hệ","")))</f>
        <v/>
      </c>
      <c r="O57" s="19"/>
    </row>
    <row r="58" customFormat="false" ht="15" hidden="false" customHeight="false" outlineLevel="0" collapsed="false">
      <c r="A58" s="7" t="n">
        <v>53</v>
      </c>
      <c r="B58" s="19"/>
      <c r="C58" s="15"/>
      <c r="D58" s="19"/>
      <c r="E58" s="19"/>
      <c r="F58" s="19"/>
      <c r="G58" s="19"/>
      <c r="H58" s="15"/>
      <c r="I58" s="15"/>
      <c r="J58" s="15"/>
      <c r="K58" s="17"/>
      <c r="L58" s="19"/>
      <c r="M58" s="17"/>
      <c r="N58" s="22" t="str">
        <f aca="true">IF(B58="","",IF(AND(M58&lt;&gt;"",M58&lt;TODAY()),"Quá hạn việc tiếp theo",IF(AND(K58&lt;&gt;"",TODAY()-K58&gt;30),"Hơn 30 ngày chưa liên hệ","")))</f>
        <v/>
      </c>
      <c r="O58" s="19"/>
    </row>
    <row r="59" customFormat="false" ht="15" hidden="false" customHeight="false" outlineLevel="0" collapsed="false">
      <c r="A59" s="7" t="n">
        <v>54</v>
      </c>
      <c r="B59" s="19"/>
      <c r="C59" s="15"/>
      <c r="D59" s="19"/>
      <c r="E59" s="19"/>
      <c r="F59" s="19"/>
      <c r="G59" s="19"/>
      <c r="H59" s="15"/>
      <c r="I59" s="15"/>
      <c r="J59" s="15"/>
      <c r="K59" s="17"/>
      <c r="L59" s="19"/>
      <c r="M59" s="17"/>
      <c r="N59" s="22" t="str">
        <f aca="true">IF(B59="","",IF(AND(M59&lt;&gt;"",M59&lt;TODAY()),"Quá hạn việc tiếp theo",IF(AND(K59&lt;&gt;"",TODAY()-K59&gt;30),"Hơn 30 ngày chưa liên hệ","")))</f>
        <v/>
      </c>
      <c r="O59" s="19"/>
    </row>
    <row r="60" customFormat="false" ht="15" hidden="false" customHeight="false" outlineLevel="0" collapsed="false">
      <c r="A60" s="7" t="n">
        <v>55</v>
      </c>
      <c r="B60" s="19"/>
      <c r="C60" s="15"/>
      <c r="D60" s="19"/>
      <c r="E60" s="19"/>
      <c r="F60" s="19"/>
      <c r="G60" s="19"/>
      <c r="H60" s="15"/>
      <c r="I60" s="15"/>
      <c r="J60" s="15"/>
      <c r="K60" s="17"/>
      <c r="L60" s="19"/>
      <c r="M60" s="17"/>
      <c r="N60" s="22" t="str">
        <f aca="true">IF(B60="","",IF(AND(M60&lt;&gt;"",M60&lt;TODAY()),"Quá hạn việc tiếp theo",IF(AND(K60&lt;&gt;"",TODAY()-K60&gt;30),"Hơn 30 ngày chưa liên hệ","")))</f>
        <v/>
      </c>
      <c r="O60" s="19"/>
    </row>
    <row r="61" customFormat="false" ht="15" hidden="false" customHeight="false" outlineLevel="0" collapsed="false">
      <c r="A61" s="7" t="n">
        <v>56</v>
      </c>
      <c r="B61" s="19"/>
      <c r="C61" s="15"/>
      <c r="D61" s="19"/>
      <c r="E61" s="19"/>
      <c r="F61" s="19"/>
      <c r="G61" s="19"/>
      <c r="H61" s="15"/>
      <c r="I61" s="15"/>
      <c r="J61" s="15"/>
      <c r="K61" s="17"/>
      <c r="L61" s="19"/>
      <c r="M61" s="17"/>
      <c r="N61" s="22" t="str">
        <f aca="true">IF(B61="","",IF(AND(M61&lt;&gt;"",M61&lt;TODAY()),"Quá hạn việc tiếp theo",IF(AND(K61&lt;&gt;"",TODAY()-K61&gt;30),"Hơn 30 ngày chưa liên hệ","")))</f>
        <v/>
      </c>
      <c r="O61" s="19"/>
    </row>
    <row r="62" customFormat="false" ht="15" hidden="false" customHeight="false" outlineLevel="0" collapsed="false">
      <c r="A62" s="7" t="n">
        <v>57</v>
      </c>
      <c r="B62" s="19"/>
      <c r="C62" s="15"/>
      <c r="D62" s="19"/>
      <c r="E62" s="19"/>
      <c r="F62" s="19"/>
      <c r="G62" s="19"/>
      <c r="H62" s="15"/>
      <c r="I62" s="15"/>
      <c r="J62" s="15"/>
      <c r="K62" s="17"/>
      <c r="L62" s="19"/>
      <c r="M62" s="17"/>
      <c r="N62" s="22" t="str">
        <f aca="true">IF(B62="","",IF(AND(M62&lt;&gt;"",M62&lt;TODAY()),"Quá hạn việc tiếp theo",IF(AND(K62&lt;&gt;"",TODAY()-K62&gt;30),"Hơn 30 ngày chưa liên hệ","")))</f>
        <v/>
      </c>
      <c r="O62" s="19"/>
    </row>
    <row r="63" customFormat="false" ht="15" hidden="false" customHeight="false" outlineLevel="0" collapsed="false">
      <c r="A63" s="7" t="n">
        <v>58</v>
      </c>
      <c r="B63" s="19"/>
      <c r="C63" s="15"/>
      <c r="D63" s="19"/>
      <c r="E63" s="19"/>
      <c r="F63" s="19"/>
      <c r="G63" s="19"/>
      <c r="H63" s="15"/>
      <c r="I63" s="15"/>
      <c r="J63" s="15"/>
      <c r="K63" s="17"/>
      <c r="L63" s="19"/>
      <c r="M63" s="17"/>
      <c r="N63" s="22" t="str">
        <f aca="true">IF(B63="","",IF(AND(M63&lt;&gt;"",M63&lt;TODAY()),"Quá hạn việc tiếp theo",IF(AND(K63&lt;&gt;"",TODAY()-K63&gt;30),"Hơn 30 ngày chưa liên hệ","")))</f>
        <v/>
      </c>
      <c r="O63" s="19"/>
    </row>
    <row r="64" customFormat="false" ht="15" hidden="false" customHeight="false" outlineLevel="0" collapsed="false">
      <c r="A64" s="7" t="n">
        <v>59</v>
      </c>
      <c r="B64" s="19"/>
      <c r="C64" s="15"/>
      <c r="D64" s="19"/>
      <c r="E64" s="19"/>
      <c r="F64" s="19"/>
      <c r="G64" s="19"/>
      <c r="H64" s="15"/>
      <c r="I64" s="15"/>
      <c r="J64" s="15"/>
      <c r="K64" s="17"/>
      <c r="L64" s="19"/>
      <c r="M64" s="17"/>
      <c r="N64" s="22" t="str">
        <f aca="true">IF(B64="","",IF(AND(M64&lt;&gt;"",M64&lt;TODAY()),"Quá hạn việc tiếp theo",IF(AND(K64&lt;&gt;"",TODAY()-K64&gt;30),"Hơn 30 ngày chưa liên hệ","")))</f>
        <v/>
      </c>
      <c r="O64" s="19"/>
    </row>
    <row r="65" customFormat="false" ht="15" hidden="false" customHeight="false" outlineLevel="0" collapsed="false">
      <c r="A65" s="7" t="n">
        <v>60</v>
      </c>
      <c r="B65" s="19"/>
      <c r="C65" s="15"/>
      <c r="D65" s="19"/>
      <c r="E65" s="19"/>
      <c r="F65" s="19"/>
      <c r="G65" s="19"/>
      <c r="H65" s="15"/>
      <c r="I65" s="15"/>
      <c r="J65" s="15"/>
      <c r="K65" s="17"/>
      <c r="L65" s="19"/>
      <c r="M65" s="17"/>
      <c r="N65" s="22" t="str">
        <f aca="true">IF(B65="","",IF(AND(M65&lt;&gt;"",M65&lt;TODAY()),"Quá hạn việc tiếp theo",IF(AND(K65&lt;&gt;"",TODAY()-K65&gt;30),"Hơn 30 ngày chưa liên hệ","")))</f>
        <v/>
      </c>
      <c r="O65" s="19"/>
    </row>
    <row r="66" customFormat="false" ht="15" hidden="false" customHeight="false" outlineLevel="0" collapsed="false">
      <c r="A66" s="7" t="n">
        <v>61</v>
      </c>
      <c r="B66" s="19"/>
      <c r="C66" s="15"/>
      <c r="D66" s="19"/>
      <c r="E66" s="19"/>
      <c r="F66" s="19"/>
      <c r="G66" s="19"/>
      <c r="H66" s="15"/>
      <c r="I66" s="15"/>
      <c r="J66" s="15"/>
      <c r="K66" s="17"/>
      <c r="L66" s="19"/>
      <c r="M66" s="17"/>
      <c r="N66" s="22" t="str">
        <f aca="true">IF(B66="","",IF(AND(M66&lt;&gt;"",M66&lt;TODAY()),"Quá hạn việc tiếp theo",IF(AND(K66&lt;&gt;"",TODAY()-K66&gt;30),"Hơn 30 ngày chưa liên hệ","")))</f>
        <v/>
      </c>
      <c r="O66" s="19"/>
    </row>
    <row r="67" customFormat="false" ht="15" hidden="false" customHeight="false" outlineLevel="0" collapsed="false">
      <c r="A67" s="7" t="n">
        <v>62</v>
      </c>
      <c r="B67" s="19"/>
      <c r="C67" s="15"/>
      <c r="D67" s="19"/>
      <c r="E67" s="19"/>
      <c r="F67" s="19"/>
      <c r="G67" s="19"/>
      <c r="H67" s="15"/>
      <c r="I67" s="15"/>
      <c r="J67" s="15"/>
      <c r="K67" s="17"/>
      <c r="L67" s="19"/>
      <c r="M67" s="17"/>
      <c r="N67" s="22" t="str">
        <f aca="true">IF(B67="","",IF(AND(M67&lt;&gt;"",M67&lt;TODAY()),"Quá hạn việc tiếp theo",IF(AND(K67&lt;&gt;"",TODAY()-K67&gt;30),"Hơn 30 ngày chưa liên hệ","")))</f>
        <v/>
      </c>
      <c r="O67" s="19"/>
    </row>
    <row r="68" customFormat="false" ht="15" hidden="false" customHeight="false" outlineLevel="0" collapsed="false">
      <c r="A68" s="7" t="n">
        <v>63</v>
      </c>
      <c r="B68" s="19"/>
      <c r="C68" s="15"/>
      <c r="D68" s="19"/>
      <c r="E68" s="19"/>
      <c r="F68" s="19"/>
      <c r="G68" s="19"/>
      <c r="H68" s="15"/>
      <c r="I68" s="15"/>
      <c r="J68" s="15"/>
      <c r="K68" s="17"/>
      <c r="L68" s="19"/>
      <c r="M68" s="17"/>
      <c r="N68" s="22" t="str">
        <f aca="true">IF(B68="","",IF(AND(M68&lt;&gt;"",M68&lt;TODAY()),"Quá hạn việc tiếp theo",IF(AND(K68&lt;&gt;"",TODAY()-K68&gt;30),"Hơn 30 ngày chưa liên hệ","")))</f>
        <v/>
      </c>
      <c r="O68" s="19"/>
    </row>
    <row r="69" customFormat="false" ht="15" hidden="false" customHeight="false" outlineLevel="0" collapsed="false">
      <c r="A69" s="7" t="n">
        <v>64</v>
      </c>
      <c r="B69" s="19"/>
      <c r="C69" s="15"/>
      <c r="D69" s="19"/>
      <c r="E69" s="19"/>
      <c r="F69" s="19"/>
      <c r="G69" s="19"/>
      <c r="H69" s="15"/>
      <c r="I69" s="15"/>
      <c r="J69" s="15"/>
      <c r="K69" s="17"/>
      <c r="L69" s="19"/>
      <c r="M69" s="17"/>
      <c r="N69" s="22" t="str">
        <f aca="true">IF(B69="","",IF(AND(M69&lt;&gt;"",M69&lt;TODAY()),"Quá hạn việc tiếp theo",IF(AND(K69&lt;&gt;"",TODAY()-K69&gt;30),"Hơn 30 ngày chưa liên hệ","")))</f>
        <v/>
      </c>
      <c r="O69" s="19"/>
    </row>
    <row r="70" customFormat="false" ht="15" hidden="false" customHeight="false" outlineLevel="0" collapsed="false">
      <c r="A70" s="7" t="n">
        <v>65</v>
      </c>
      <c r="B70" s="19"/>
      <c r="C70" s="15"/>
      <c r="D70" s="19"/>
      <c r="E70" s="19"/>
      <c r="F70" s="19"/>
      <c r="G70" s="19"/>
      <c r="H70" s="15"/>
      <c r="I70" s="15"/>
      <c r="J70" s="15"/>
      <c r="K70" s="17"/>
      <c r="L70" s="19"/>
      <c r="M70" s="17"/>
      <c r="N70" s="22" t="str">
        <f aca="true">IF(B70="","",IF(AND(M70&lt;&gt;"",M70&lt;TODAY()),"Quá hạn việc tiếp theo",IF(AND(K70&lt;&gt;"",TODAY()-K70&gt;30),"Hơn 30 ngày chưa liên hệ","")))</f>
        <v/>
      </c>
      <c r="O70" s="19"/>
    </row>
    <row r="71" customFormat="false" ht="15" hidden="false" customHeight="false" outlineLevel="0" collapsed="false">
      <c r="A71" s="7" t="n">
        <v>66</v>
      </c>
      <c r="B71" s="19"/>
      <c r="C71" s="15"/>
      <c r="D71" s="19"/>
      <c r="E71" s="19"/>
      <c r="F71" s="19"/>
      <c r="G71" s="19"/>
      <c r="H71" s="15"/>
      <c r="I71" s="15"/>
      <c r="J71" s="15"/>
      <c r="K71" s="17"/>
      <c r="L71" s="19"/>
      <c r="M71" s="17"/>
      <c r="N71" s="22" t="str">
        <f aca="true">IF(B71="","",IF(AND(M71&lt;&gt;"",M71&lt;TODAY()),"Quá hạn việc tiếp theo",IF(AND(K71&lt;&gt;"",TODAY()-K71&gt;30),"Hơn 30 ngày chưa liên hệ","")))</f>
        <v/>
      </c>
      <c r="O71" s="19"/>
    </row>
    <row r="72" customFormat="false" ht="15" hidden="false" customHeight="false" outlineLevel="0" collapsed="false">
      <c r="A72" s="7" t="n">
        <v>67</v>
      </c>
      <c r="B72" s="19"/>
      <c r="C72" s="15"/>
      <c r="D72" s="19"/>
      <c r="E72" s="19"/>
      <c r="F72" s="19"/>
      <c r="G72" s="19"/>
      <c r="H72" s="15"/>
      <c r="I72" s="15"/>
      <c r="J72" s="15"/>
      <c r="K72" s="17"/>
      <c r="L72" s="19"/>
      <c r="M72" s="17"/>
      <c r="N72" s="22" t="str">
        <f aca="true">IF(B72="","",IF(AND(M72&lt;&gt;"",M72&lt;TODAY()),"Quá hạn việc tiếp theo",IF(AND(K72&lt;&gt;"",TODAY()-K72&gt;30),"Hơn 30 ngày chưa liên hệ","")))</f>
        <v/>
      </c>
      <c r="O72" s="19"/>
    </row>
    <row r="73" customFormat="false" ht="15" hidden="false" customHeight="false" outlineLevel="0" collapsed="false">
      <c r="A73" s="7" t="n">
        <v>68</v>
      </c>
      <c r="B73" s="19"/>
      <c r="C73" s="15"/>
      <c r="D73" s="19"/>
      <c r="E73" s="19"/>
      <c r="F73" s="19"/>
      <c r="G73" s="19"/>
      <c r="H73" s="15"/>
      <c r="I73" s="15"/>
      <c r="J73" s="15"/>
      <c r="K73" s="17"/>
      <c r="L73" s="19"/>
      <c r="M73" s="17"/>
      <c r="N73" s="22" t="str">
        <f aca="true">IF(B73="","",IF(AND(M73&lt;&gt;"",M73&lt;TODAY()),"Quá hạn việc tiếp theo",IF(AND(K73&lt;&gt;"",TODAY()-K73&gt;30),"Hơn 30 ngày chưa liên hệ","")))</f>
        <v/>
      </c>
      <c r="O73" s="19"/>
    </row>
    <row r="74" customFormat="false" ht="15" hidden="false" customHeight="false" outlineLevel="0" collapsed="false">
      <c r="A74" s="7" t="n">
        <v>69</v>
      </c>
      <c r="B74" s="19"/>
      <c r="C74" s="15"/>
      <c r="D74" s="19"/>
      <c r="E74" s="19"/>
      <c r="F74" s="19"/>
      <c r="G74" s="19"/>
      <c r="H74" s="15"/>
      <c r="I74" s="15"/>
      <c r="J74" s="15"/>
      <c r="K74" s="17"/>
      <c r="L74" s="19"/>
      <c r="M74" s="17"/>
      <c r="N74" s="22" t="str">
        <f aca="true">IF(B74="","",IF(AND(M74&lt;&gt;"",M74&lt;TODAY()),"Quá hạn việc tiếp theo",IF(AND(K74&lt;&gt;"",TODAY()-K74&gt;30),"Hơn 30 ngày chưa liên hệ","")))</f>
        <v/>
      </c>
      <c r="O74" s="19"/>
    </row>
    <row r="75" customFormat="false" ht="15" hidden="false" customHeight="false" outlineLevel="0" collapsed="false">
      <c r="A75" s="7" t="n">
        <v>70</v>
      </c>
      <c r="B75" s="19"/>
      <c r="C75" s="15"/>
      <c r="D75" s="19"/>
      <c r="E75" s="19"/>
      <c r="F75" s="19"/>
      <c r="G75" s="19"/>
      <c r="H75" s="15"/>
      <c r="I75" s="15"/>
      <c r="J75" s="15"/>
      <c r="K75" s="17"/>
      <c r="L75" s="19"/>
      <c r="M75" s="17"/>
      <c r="N75" s="22" t="str">
        <f aca="true">IF(B75="","",IF(AND(M75&lt;&gt;"",M75&lt;TODAY()),"Quá hạn việc tiếp theo",IF(AND(K75&lt;&gt;"",TODAY()-K75&gt;30),"Hơn 30 ngày chưa liên hệ","")))</f>
        <v/>
      </c>
      <c r="O75" s="19"/>
    </row>
    <row r="76" customFormat="false" ht="15" hidden="false" customHeight="false" outlineLevel="0" collapsed="false">
      <c r="A76" s="7" t="n">
        <v>71</v>
      </c>
      <c r="B76" s="19"/>
      <c r="C76" s="15"/>
      <c r="D76" s="19"/>
      <c r="E76" s="19"/>
      <c r="F76" s="19"/>
      <c r="G76" s="19"/>
      <c r="H76" s="15"/>
      <c r="I76" s="15"/>
      <c r="J76" s="15"/>
      <c r="K76" s="17"/>
      <c r="L76" s="19"/>
      <c r="M76" s="17"/>
      <c r="N76" s="22" t="str">
        <f aca="true">IF(B76="","",IF(AND(M76&lt;&gt;"",M76&lt;TODAY()),"Quá hạn việc tiếp theo",IF(AND(K76&lt;&gt;"",TODAY()-K76&gt;30),"Hơn 30 ngày chưa liên hệ","")))</f>
        <v/>
      </c>
      <c r="O76" s="19"/>
    </row>
    <row r="77" customFormat="false" ht="15" hidden="false" customHeight="false" outlineLevel="0" collapsed="false">
      <c r="A77" s="7" t="n">
        <v>72</v>
      </c>
      <c r="B77" s="19"/>
      <c r="C77" s="15"/>
      <c r="D77" s="19"/>
      <c r="E77" s="19"/>
      <c r="F77" s="19"/>
      <c r="G77" s="19"/>
      <c r="H77" s="15"/>
      <c r="I77" s="15"/>
      <c r="J77" s="15"/>
      <c r="K77" s="17"/>
      <c r="L77" s="19"/>
      <c r="M77" s="17"/>
      <c r="N77" s="22" t="str">
        <f aca="true">IF(B77="","",IF(AND(M77&lt;&gt;"",M77&lt;TODAY()),"Quá hạn việc tiếp theo",IF(AND(K77&lt;&gt;"",TODAY()-K77&gt;30),"Hơn 30 ngày chưa liên hệ","")))</f>
        <v/>
      </c>
      <c r="O77" s="19"/>
    </row>
    <row r="78" customFormat="false" ht="15" hidden="false" customHeight="false" outlineLevel="0" collapsed="false">
      <c r="A78" s="7" t="n">
        <v>73</v>
      </c>
      <c r="B78" s="19"/>
      <c r="C78" s="15"/>
      <c r="D78" s="19"/>
      <c r="E78" s="19"/>
      <c r="F78" s="19"/>
      <c r="G78" s="19"/>
      <c r="H78" s="15"/>
      <c r="I78" s="15"/>
      <c r="J78" s="15"/>
      <c r="K78" s="17"/>
      <c r="L78" s="19"/>
      <c r="M78" s="17"/>
      <c r="N78" s="22" t="str">
        <f aca="true">IF(B78="","",IF(AND(M78&lt;&gt;"",M78&lt;TODAY()),"Quá hạn việc tiếp theo",IF(AND(K78&lt;&gt;"",TODAY()-K78&gt;30),"Hơn 30 ngày chưa liên hệ","")))</f>
        <v/>
      </c>
      <c r="O78" s="19"/>
    </row>
    <row r="79" customFormat="false" ht="15" hidden="false" customHeight="false" outlineLevel="0" collapsed="false">
      <c r="A79" s="7" t="n">
        <v>74</v>
      </c>
      <c r="B79" s="19"/>
      <c r="C79" s="15"/>
      <c r="D79" s="19"/>
      <c r="E79" s="19"/>
      <c r="F79" s="19"/>
      <c r="G79" s="19"/>
      <c r="H79" s="15"/>
      <c r="I79" s="15"/>
      <c r="J79" s="15"/>
      <c r="K79" s="17"/>
      <c r="L79" s="19"/>
      <c r="M79" s="17"/>
      <c r="N79" s="22" t="str">
        <f aca="true">IF(B79="","",IF(AND(M79&lt;&gt;"",M79&lt;TODAY()),"Quá hạn việc tiếp theo",IF(AND(K79&lt;&gt;"",TODAY()-K79&gt;30),"Hơn 30 ngày chưa liên hệ","")))</f>
        <v/>
      </c>
      <c r="O79" s="19"/>
    </row>
    <row r="80" customFormat="false" ht="15" hidden="false" customHeight="false" outlineLevel="0" collapsed="false">
      <c r="A80" s="7" t="n">
        <v>75</v>
      </c>
      <c r="B80" s="19"/>
      <c r="C80" s="15"/>
      <c r="D80" s="19"/>
      <c r="E80" s="19"/>
      <c r="F80" s="19"/>
      <c r="G80" s="19"/>
      <c r="H80" s="15"/>
      <c r="I80" s="15"/>
      <c r="J80" s="15"/>
      <c r="K80" s="17"/>
      <c r="L80" s="19"/>
      <c r="M80" s="17"/>
      <c r="N80" s="22" t="str">
        <f aca="true">IF(B80="","",IF(AND(M80&lt;&gt;"",M80&lt;TODAY()),"Quá hạn việc tiếp theo",IF(AND(K80&lt;&gt;"",TODAY()-K80&gt;30),"Hơn 30 ngày chưa liên hệ","")))</f>
        <v/>
      </c>
      <c r="O80" s="19"/>
    </row>
    <row r="81" customFormat="false" ht="15" hidden="false" customHeight="false" outlineLevel="0" collapsed="false">
      <c r="A81" s="7" t="n">
        <v>76</v>
      </c>
      <c r="B81" s="19"/>
      <c r="C81" s="15"/>
      <c r="D81" s="19"/>
      <c r="E81" s="19"/>
      <c r="F81" s="19"/>
      <c r="G81" s="19"/>
      <c r="H81" s="15"/>
      <c r="I81" s="15"/>
      <c r="J81" s="15"/>
      <c r="K81" s="17"/>
      <c r="L81" s="19"/>
      <c r="M81" s="17"/>
      <c r="N81" s="22" t="str">
        <f aca="true">IF(B81="","",IF(AND(M81&lt;&gt;"",M81&lt;TODAY()),"Quá hạn việc tiếp theo",IF(AND(K81&lt;&gt;"",TODAY()-K81&gt;30),"Hơn 30 ngày chưa liên hệ","")))</f>
        <v/>
      </c>
      <c r="O81" s="19"/>
    </row>
    <row r="82" customFormat="false" ht="15" hidden="false" customHeight="false" outlineLevel="0" collapsed="false">
      <c r="A82" s="7" t="n">
        <v>77</v>
      </c>
      <c r="B82" s="19"/>
      <c r="C82" s="15"/>
      <c r="D82" s="19"/>
      <c r="E82" s="19"/>
      <c r="F82" s="19"/>
      <c r="G82" s="19"/>
      <c r="H82" s="15"/>
      <c r="I82" s="15"/>
      <c r="J82" s="15"/>
      <c r="K82" s="17"/>
      <c r="L82" s="19"/>
      <c r="M82" s="17"/>
      <c r="N82" s="22" t="str">
        <f aca="true">IF(B82="","",IF(AND(M82&lt;&gt;"",M82&lt;TODAY()),"Quá hạn việc tiếp theo",IF(AND(K82&lt;&gt;"",TODAY()-K82&gt;30),"Hơn 30 ngày chưa liên hệ","")))</f>
        <v/>
      </c>
      <c r="O82" s="19"/>
    </row>
    <row r="83" customFormat="false" ht="15" hidden="false" customHeight="false" outlineLevel="0" collapsed="false">
      <c r="A83" s="7" t="n">
        <v>78</v>
      </c>
      <c r="B83" s="19"/>
      <c r="C83" s="15"/>
      <c r="D83" s="19"/>
      <c r="E83" s="19"/>
      <c r="F83" s="19"/>
      <c r="G83" s="19"/>
      <c r="H83" s="15"/>
      <c r="I83" s="15"/>
      <c r="J83" s="15"/>
      <c r="K83" s="17"/>
      <c r="L83" s="19"/>
      <c r="M83" s="17"/>
      <c r="N83" s="22" t="str">
        <f aca="true">IF(B83="","",IF(AND(M83&lt;&gt;"",M83&lt;TODAY()),"Quá hạn việc tiếp theo",IF(AND(K83&lt;&gt;"",TODAY()-K83&gt;30),"Hơn 30 ngày chưa liên hệ","")))</f>
        <v/>
      </c>
      <c r="O83" s="19"/>
    </row>
    <row r="84" customFormat="false" ht="15" hidden="false" customHeight="false" outlineLevel="0" collapsed="false">
      <c r="A84" s="7" t="n">
        <v>79</v>
      </c>
      <c r="B84" s="19"/>
      <c r="C84" s="15"/>
      <c r="D84" s="19"/>
      <c r="E84" s="19"/>
      <c r="F84" s="19"/>
      <c r="G84" s="19"/>
      <c r="H84" s="15"/>
      <c r="I84" s="15"/>
      <c r="J84" s="15"/>
      <c r="K84" s="17"/>
      <c r="L84" s="19"/>
      <c r="M84" s="17"/>
      <c r="N84" s="22" t="str">
        <f aca="true">IF(B84="","",IF(AND(M84&lt;&gt;"",M84&lt;TODAY()),"Quá hạn việc tiếp theo",IF(AND(K84&lt;&gt;"",TODAY()-K84&gt;30),"Hơn 30 ngày chưa liên hệ","")))</f>
        <v/>
      </c>
      <c r="O84" s="19"/>
    </row>
    <row r="85" customFormat="false" ht="15" hidden="false" customHeight="false" outlineLevel="0" collapsed="false">
      <c r="A85" s="7" t="n">
        <v>80</v>
      </c>
      <c r="B85" s="19"/>
      <c r="C85" s="15"/>
      <c r="D85" s="19"/>
      <c r="E85" s="19"/>
      <c r="F85" s="19"/>
      <c r="G85" s="19"/>
      <c r="H85" s="15"/>
      <c r="I85" s="15"/>
      <c r="J85" s="15"/>
      <c r="K85" s="17"/>
      <c r="L85" s="19"/>
      <c r="M85" s="17"/>
      <c r="N85" s="22" t="str">
        <f aca="true">IF(B85="","",IF(AND(M85&lt;&gt;"",M85&lt;TODAY()),"Quá hạn việc tiếp theo",IF(AND(K85&lt;&gt;"",TODAY()-K85&gt;30),"Hơn 30 ngày chưa liên hệ","")))</f>
        <v/>
      </c>
      <c r="O85" s="19"/>
    </row>
    <row r="86" customFormat="false" ht="15" hidden="false" customHeight="false" outlineLevel="0" collapsed="false">
      <c r="A86" s="7" t="n">
        <v>81</v>
      </c>
      <c r="B86" s="19"/>
      <c r="C86" s="15"/>
      <c r="D86" s="19"/>
      <c r="E86" s="19"/>
      <c r="F86" s="19"/>
      <c r="G86" s="19"/>
      <c r="H86" s="15"/>
      <c r="I86" s="15"/>
      <c r="J86" s="15"/>
      <c r="K86" s="17"/>
      <c r="L86" s="19"/>
      <c r="M86" s="17"/>
      <c r="N86" s="22" t="str">
        <f aca="true">IF(B86="","",IF(AND(M86&lt;&gt;"",M86&lt;TODAY()),"Quá hạn việc tiếp theo",IF(AND(K86&lt;&gt;"",TODAY()-K86&gt;30),"Hơn 30 ngày chưa liên hệ","")))</f>
        <v/>
      </c>
      <c r="O86" s="19"/>
    </row>
    <row r="87" customFormat="false" ht="15" hidden="false" customHeight="false" outlineLevel="0" collapsed="false">
      <c r="A87" s="7" t="n">
        <v>82</v>
      </c>
      <c r="B87" s="19"/>
      <c r="C87" s="15"/>
      <c r="D87" s="19"/>
      <c r="E87" s="19"/>
      <c r="F87" s="19"/>
      <c r="G87" s="19"/>
      <c r="H87" s="15"/>
      <c r="I87" s="15"/>
      <c r="J87" s="15"/>
      <c r="K87" s="17"/>
      <c r="L87" s="19"/>
      <c r="M87" s="17"/>
      <c r="N87" s="22" t="str">
        <f aca="true">IF(B87="","",IF(AND(M87&lt;&gt;"",M87&lt;TODAY()),"Quá hạn việc tiếp theo",IF(AND(K87&lt;&gt;"",TODAY()-K87&gt;30),"Hơn 30 ngày chưa liên hệ","")))</f>
        <v/>
      </c>
      <c r="O87" s="19"/>
    </row>
    <row r="88" customFormat="false" ht="15" hidden="false" customHeight="false" outlineLevel="0" collapsed="false">
      <c r="A88" s="7" t="n">
        <v>83</v>
      </c>
      <c r="B88" s="19"/>
      <c r="C88" s="15"/>
      <c r="D88" s="19"/>
      <c r="E88" s="19"/>
      <c r="F88" s="19"/>
      <c r="G88" s="19"/>
      <c r="H88" s="15"/>
      <c r="I88" s="15"/>
      <c r="J88" s="15"/>
      <c r="K88" s="17"/>
      <c r="L88" s="19"/>
      <c r="M88" s="17"/>
      <c r="N88" s="22" t="str">
        <f aca="true">IF(B88="","",IF(AND(M88&lt;&gt;"",M88&lt;TODAY()),"Quá hạn việc tiếp theo",IF(AND(K88&lt;&gt;"",TODAY()-K88&gt;30),"Hơn 30 ngày chưa liên hệ","")))</f>
        <v/>
      </c>
      <c r="O88" s="19"/>
    </row>
    <row r="89" customFormat="false" ht="15" hidden="false" customHeight="false" outlineLevel="0" collapsed="false">
      <c r="A89" s="7" t="n">
        <v>84</v>
      </c>
      <c r="B89" s="19"/>
      <c r="C89" s="15"/>
      <c r="D89" s="19"/>
      <c r="E89" s="19"/>
      <c r="F89" s="19"/>
      <c r="G89" s="19"/>
      <c r="H89" s="15"/>
      <c r="I89" s="15"/>
      <c r="J89" s="15"/>
      <c r="K89" s="17"/>
      <c r="L89" s="19"/>
      <c r="M89" s="17"/>
      <c r="N89" s="22" t="str">
        <f aca="true">IF(B89="","",IF(AND(M89&lt;&gt;"",M89&lt;TODAY()),"Quá hạn việc tiếp theo",IF(AND(K89&lt;&gt;"",TODAY()-K89&gt;30),"Hơn 30 ngày chưa liên hệ","")))</f>
        <v/>
      </c>
      <c r="O89" s="19"/>
    </row>
    <row r="90" customFormat="false" ht="15" hidden="false" customHeight="false" outlineLevel="0" collapsed="false">
      <c r="A90" s="7" t="n">
        <v>85</v>
      </c>
      <c r="B90" s="19"/>
      <c r="C90" s="15"/>
      <c r="D90" s="19"/>
      <c r="E90" s="19"/>
      <c r="F90" s="19"/>
      <c r="G90" s="19"/>
      <c r="H90" s="15"/>
      <c r="I90" s="15"/>
      <c r="J90" s="15"/>
      <c r="K90" s="17"/>
      <c r="L90" s="19"/>
      <c r="M90" s="17"/>
      <c r="N90" s="22" t="str">
        <f aca="true">IF(B90="","",IF(AND(M90&lt;&gt;"",M90&lt;TODAY()),"Quá hạn việc tiếp theo",IF(AND(K90&lt;&gt;"",TODAY()-K90&gt;30),"Hơn 30 ngày chưa liên hệ","")))</f>
        <v/>
      </c>
      <c r="O90" s="19"/>
    </row>
    <row r="91" customFormat="false" ht="15" hidden="false" customHeight="false" outlineLevel="0" collapsed="false">
      <c r="A91" s="7" t="n">
        <v>86</v>
      </c>
      <c r="B91" s="19"/>
      <c r="C91" s="15"/>
      <c r="D91" s="19"/>
      <c r="E91" s="19"/>
      <c r="F91" s="19"/>
      <c r="G91" s="19"/>
      <c r="H91" s="15"/>
      <c r="I91" s="15"/>
      <c r="J91" s="15"/>
      <c r="K91" s="17"/>
      <c r="L91" s="19"/>
      <c r="M91" s="17"/>
      <c r="N91" s="22" t="str">
        <f aca="true">IF(B91="","",IF(AND(M91&lt;&gt;"",M91&lt;TODAY()),"Quá hạn việc tiếp theo",IF(AND(K91&lt;&gt;"",TODAY()-K91&gt;30),"Hơn 30 ngày chưa liên hệ","")))</f>
        <v/>
      </c>
      <c r="O91" s="19"/>
    </row>
    <row r="92" customFormat="false" ht="15" hidden="false" customHeight="false" outlineLevel="0" collapsed="false">
      <c r="A92" s="7" t="n">
        <v>87</v>
      </c>
      <c r="B92" s="19"/>
      <c r="C92" s="15"/>
      <c r="D92" s="19"/>
      <c r="E92" s="19"/>
      <c r="F92" s="19"/>
      <c r="G92" s="19"/>
      <c r="H92" s="15"/>
      <c r="I92" s="15"/>
      <c r="J92" s="15"/>
      <c r="K92" s="17"/>
      <c r="L92" s="19"/>
      <c r="M92" s="17"/>
      <c r="N92" s="22" t="str">
        <f aca="true">IF(B92="","",IF(AND(M92&lt;&gt;"",M92&lt;TODAY()),"Quá hạn việc tiếp theo",IF(AND(K92&lt;&gt;"",TODAY()-K92&gt;30),"Hơn 30 ngày chưa liên hệ","")))</f>
        <v/>
      </c>
      <c r="O92" s="19"/>
    </row>
    <row r="93" customFormat="false" ht="15" hidden="false" customHeight="false" outlineLevel="0" collapsed="false">
      <c r="A93" s="7" t="n">
        <v>88</v>
      </c>
      <c r="B93" s="19"/>
      <c r="C93" s="15"/>
      <c r="D93" s="19"/>
      <c r="E93" s="19"/>
      <c r="F93" s="19"/>
      <c r="G93" s="19"/>
      <c r="H93" s="15"/>
      <c r="I93" s="15"/>
      <c r="J93" s="15"/>
      <c r="K93" s="17"/>
      <c r="L93" s="19"/>
      <c r="M93" s="17"/>
      <c r="N93" s="22" t="str">
        <f aca="true">IF(B93="","",IF(AND(M93&lt;&gt;"",M93&lt;TODAY()),"Quá hạn việc tiếp theo",IF(AND(K93&lt;&gt;"",TODAY()-K93&gt;30),"Hơn 30 ngày chưa liên hệ","")))</f>
        <v/>
      </c>
      <c r="O93" s="19"/>
    </row>
    <row r="94" customFormat="false" ht="15" hidden="false" customHeight="false" outlineLevel="0" collapsed="false">
      <c r="A94" s="7" t="n">
        <v>89</v>
      </c>
      <c r="B94" s="19"/>
      <c r="C94" s="15"/>
      <c r="D94" s="19"/>
      <c r="E94" s="19"/>
      <c r="F94" s="19"/>
      <c r="G94" s="19"/>
      <c r="H94" s="15"/>
      <c r="I94" s="15"/>
      <c r="J94" s="15"/>
      <c r="K94" s="17"/>
      <c r="L94" s="19"/>
      <c r="M94" s="17"/>
      <c r="N94" s="22" t="str">
        <f aca="true">IF(B94="","",IF(AND(M94&lt;&gt;"",M94&lt;TODAY()),"Quá hạn việc tiếp theo",IF(AND(K94&lt;&gt;"",TODAY()-K94&gt;30),"Hơn 30 ngày chưa liên hệ","")))</f>
        <v/>
      </c>
      <c r="O94" s="19"/>
    </row>
    <row r="95" customFormat="false" ht="15" hidden="false" customHeight="false" outlineLevel="0" collapsed="false">
      <c r="A95" s="7" t="n">
        <v>90</v>
      </c>
      <c r="B95" s="19"/>
      <c r="C95" s="15"/>
      <c r="D95" s="19"/>
      <c r="E95" s="19"/>
      <c r="F95" s="19"/>
      <c r="G95" s="19"/>
      <c r="H95" s="15"/>
      <c r="I95" s="15"/>
      <c r="J95" s="15"/>
      <c r="K95" s="17"/>
      <c r="L95" s="19"/>
      <c r="M95" s="17"/>
      <c r="N95" s="22" t="str">
        <f aca="true">IF(B95="","",IF(AND(M95&lt;&gt;"",M95&lt;TODAY()),"Quá hạn việc tiếp theo",IF(AND(K95&lt;&gt;"",TODAY()-K95&gt;30),"Hơn 30 ngày chưa liên hệ","")))</f>
        <v/>
      </c>
      <c r="O95" s="19"/>
    </row>
    <row r="96" customFormat="false" ht="15" hidden="false" customHeight="false" outlineLevel="0" collapsed="false">
      <c r="A96" s="7" t="n">
        <v>91</v>
      </c>
      <c r="B96" s="19"/>
      <c r="C96" s="15"/>
      <c r="D96" s="19"/>
      <c r="E96" s="19"/>
      <c r="F96" s="19"/>
      <c r="G96" s="19"/>
      <c r="H96" s="15"/>
      <c r="I96" s="15"/>
      <c r="J96" s="15"/>
      <c r="K96" s="17"/>
      <c r="L96" s="19"/>
      <c r="M96" s="17"/>
      <c r="N96" s="22" t="str">
        <f aca="true">IF(B96="","",IF(AND(M96&lt;&gt;"",M96&lt;TODAY()),"Quá hạn việc tiếp theo",IF(AND(K96&lt;&gt;"",TODAY()-K96&gt;30),"Hơn 30 ngày chưa liên hệ","")))</f>
        <v/>
      </c>
      <c r="O96" s="19"/>
    </row>
    <row r="97" customFormat="false" ht="15" hidden="false" customHeight="false" outlineLevel="0" collapsed="false">
      <c r="A97" s="7" t="n">
        <v>92</v>
      </c>
      <c r="B97" s="19"/>
      <c r="C97" s="15"/>
      <c r="D97" s="19"/>
      <c r="E97" s="19"/>
      <c r="F97" s="19"/>
      <c r="G97" s="19"/>
      <c r="H97" s="15"/>
      <c r="I97" s="15"/>
      <c r="J97" s="15"/>
      <c r="K97" s="17"/>
      <c r="L97" s="19"/>
      <c r="M97" s="17"/>
      <c r="N97" s="22" t="str">
        <f aca="true">IF(B97="","",IF(AND(M97&lt;&gt;"",M97&lt;TODAY()),"Quá hạn việc tiếp theo",IF(AND(K97&lt;&gt;"",TODAY()-K97&gt;30),"Hơn 30 ngày chưa liên hệ","")))</f>
        <v/>
      </c>
      <c r="O97" s="19"/>
    </row>
    <row r="98" customFormat="false" ht="15" hidden="false" customHeight="false" outlineLevel="0" collapsed="false">
      <c r="A98" s="7" t="n">
        <v>93</v>
      </c>
      <c r="B98" s="19"/>
      <c r="C98" s="15"/>
      <c r="D98" s="19"/>
      <c r="E98" s="19"/>
      <c r="F98" s="19"/>
      <c r="G98" s="19"/>
      <c r="H98" s="15"/>
      <c r="I98" s="15"/>
      <c r="J98" s="15"/>
      <c r="K98" s="17"/>
      <c r="L98" s="19"/>
      <c r="M98" s="17"/>
      <c r="N98" s="22" t="str">
        <f aca="true">IF(B98="","",IF(AND(M98&lt;&gt;"",M98&lt;TODAY()),"Quá hạn việc tiếp theo",IF(AND(K98&lt;&gt;"",TODAY()-K98&gt;30),"Hơn 30 ngày chưa liên hệ","")))</f>
        <v/>
      </c>
      <c r="O98" s="19"/>
    </row>
    <row r="99" customFormat="false" ht="15" hidden="false" customHeight="false" outlineLevel="0" collapsed="false">
      <c r="A99" s="7" t="n">
        <v>94</v>
      </c>
      <c r="B99" s="19"/>
      <c r="C99" s="15"/>
      <c r="D99" s="19"/>
      <c r="E99" s="19"/>
      <c r="F99" s="19"/>
      <c r="G99" s="19"/>
      <c r="H99" s="15"/>
      <c r="I99" s="15"/>
      <c r="J99" s="15"/>
      <c r="K99" s="17"/>
      <c r="L99" s="19"/>
      <c r="M99" s="17"/>
      <c r="N99" s="22" t="str">
        <f aca="true">IF(B99="","",IF(AND(M99&lt;&gt;"",M99&lt;TODAY()),"Quá hạn việc tiếp theo",IF(AND(K99&lt;&gt;"",TODAY()-K99&gt;30),"Hơn 30 ngày chưa liên hệ","")))</f>
        <v/>
      </c>
      <c r="O99" s="19"/>
    </row>
    <row r="100" customFormat="false" ht="15" hidden="false" customHeight="false" outlineLevel="0" collapsed="false">
      <c r="A100" s="7" t="n">
        <v>95</v>
      </c>
      <c r="B100" s="19"/>
      <c r="C100" s="15"/>
      <c r="D100" s="19"/>
      <c r="E100" s="19"/>
      <c r="F100" s="19"/>
      <c r="G100" s="19"/>
      <c r="H100" s="15"/>
      <c r="I100" s="15"/>
      <c r="J100" s="15"/>
      <c r="K100" s="17"/>
      <c r="L100" s="19"/>
      <c r="M100" s="17"/>
      <c r="N100" s="22" t="str">
        <f aca="true">IF(B100="","",IF(AND(M100&lt;&gt;"",M100&lt;TODAY()),"Quá hạn việc tiếp theo",IF(AND(K100&lt;&gt;"",TODAY()-K100&gt;30),"Hơn 30 ngày chưa liên hệ","")))</f>
        <v/>
      </c>
      <c r="O100" s="19"/>
    </row>
    <row r="101" customFormat="false" ht="15" hidden="false" customHeight="false" outlineLevel="0" collapsed="false">
      <c r="A101" s="7" t="n">
        <v>96</v>
      </c>
      <c r="B101" s="19"/>
      <c r="C101" s="15"/>
      <c r="D101" s="19"/>
      <c r="E101" s="19"/>
      <c r="F101" s="19"/>
      <c r="G101" s="19"/>
      <c r="H101" s="15"/>
      <c r="I101" s="15"/>
      <c r="J101" s="15"/>
      <c r="K101" s="17"/>
      <c r="L101" s="19"/>
      <c r="M101" s="17"/>
      <c r="N101" s="22" t="str">
        <f aca="true">IF(B101="","",IF(AND(M101&lt;&gt;"",M101&lt;TODAY()),"Quá hạn việc tiếp theo",IF(AND(K101&lt;&gt;"",TODAY()-K101&gt;30),"Hơn 30 ngày chưa liên hệ","")))</f>
        <v/>
      </c>
      <c r="O101" s="19"/>
    </row>
    <row r="102" customFormat="false" ht="15" hidden="false" customHeight="false" outlineLevel="0" collapsed="false">
      <c r="A102" s="7" t="n">
        <v>97</v>
      </c>
      <c r="B102" s="19"/>
      <c r="C102" s="15"/>
      <c r="D102" s="19"/>
      <c r="E102" s="19"/>
      <c r="F102" s="19"/>
      <c r="G102" s="19"/>
      <c r="H102" s="15"/>
      <c r="I102" s="15"/>
      <c r="J102" s="15"/>
      <c r="K102" s="17"/>
      <c r="L102" s="19"/>
      <c r="M102" s="17"/>
      <c r="N102" s="22" t="str">
        <f aca="true">IF(B102="","",IF(AND(M102&lt;&gt;"",M102&lt;TODAY()),"Quá hạn việc tiếp theo",IF(AND(K102&lt;&gt;"",TODAY()-K102&gt;30),"Hơn 30 ngày chưa liên hệ","")))</f>
        <v/>
      </c>
      <c r="O102" s="19"/>
    </row>
    <row r="103" customFormat="false" ht="15" hidden="false" customHeight="false" outlineLevel="0" collapsed="false">
      <c r="A103" s="7" t="n">
        <v>98</v>
      </c>
      <c r="B103" s="19"/>
      <c r="C103" s="15"/>
      <c r="D103" s="19"/>
      <c r="E103" s="19"/>
      <c r="F103" s="19"/>
      <c r="G103" s="19"/>
      <c r="H103" s="15"/>
      <c r="I103" s="15"/>
      <c r="J103" s="15"/>
      <c r="K103" s="17"/>
      <c r="L103" s="19"/>
      <c r="M103" s="17"/>
      <c r="N103" s="22" t="str">
        <f aca="true">IF(B103="","",IF(AND(M103&lt;&gt;"",M103&lt;TODAY()),"Quá hạn việc tiếp theo",IF(AND(K103&lt;&gt;"",TODAY()-K103&gt;30),"Hơn 30 ngày chưa liên hệ","")))</f>
        <v/>
      </c>
      <c r="O103" s="19"/>
    </row>
    <row r="104" customFormat="false" ht="15" hidden="false" customHeight="false" outlineLevel="0" collapsed="false">
      <c r="A104" s="7" t="n">
        <v>99</v>
      </c>
      <c r="B104" s="19"/>
      <c r="C104" s="15"/>
      <c r="D104" s="19"/>
      <c r="E104" s="19"/>
      <c r="F104" s="19"/>
      <c r="G104" s="19"/>
      <c r="H104" s="15"/>
      <c r="I104" s="15"/>
      <c r="J104" s="15"/>
      <c r="K104" s="17"/>
      <c r="L104" s="19"/>
      <c r="M104" s="17"/>
      <c r="N104" s="22" t="str">
        <f aca="true">IF(B104="","",IF(AND(M104&lt;&gt;"",M104&lt;TODAY()),"Quá hạn việc tiếp theo",IF(AND(K104&lt;&gt;"",TODAY()-K104&gt;30),"Hơn 30 ngày chưa liên hệ","")))</f>
        <v/>
      </c>
      <c r="O104" s="19"/>
    </row>
    <row r="105" customFormat="false" ht="15" hidden="false" customHeight="false" outlineLevel="0" collapsed="false">
      <c r="A105" s="7" t="n">
        <v>100</v>
      </c>
      <c r="B105" s="19"/>
      <c r="C105" s="15"/>
      <c r="D105" s="19"/>
      <c r="E105" s="19"/>
      <c r="F105" s="19"/>
      <c r="G105" s="19"/>
      <c r="H105" s="15"/>
      <c r="I105" s="15"/>
      <c r="J105" s="15"/>
      <c r="K105" s="17"/>
      <c r="L105" s="19"/>
      <c r="M105" s="17"/>
      <c r="N105" s="22" t="str">
        <f aca="true">IF(B105="","",IF(AND(M105&lt;&gt;"",M105&lt;TODAY()),"Quá hạn việc tiếp theo",IF(AND(K105&lt;&gt;"",TODAY()-K105&gt;30),"Hơn 30 ngày chưa liên hệ","")))</f>
        <v/>
      </c>
      <c r="O105" s="19"/>
    </row>
  </sheetData>
  <autoFilter ref="A4:O105"/>
  <mergeCells count="1">
    <mergeCell ref="A2:O2"/>
  </mergeCells>
  <conditionalFormatting sqref="N6:N105">
    <cfRule type="expression" priority="2" aboveAverage="0" equalAverage="0" bottom="0" percent="0" rank="0" text="" dxfId="0">
      <formula>ISNUMBER(SEARCH("quá hạn",N6))</formula>
    </cfRule>
  </conditionalFormatting>
  <dataValidations count="5">
    <dataValidation allowBlank="true" errorStyle="stop" operator="between" showDropDown="false" showErrorMessage="true" showInputMessage="false" sqref="C5:C105" type="list">
      <formula1>"A. Technology,B. Channel / SI,C. Domain consultant,D. Ecosystem"</formula1>
      <formula2>0</formula2>
    </dataValidation>
    <dataValidation allowBlank="true" errorStyle="stop" operator="between" showDropDown="false" showErrorMessage="true" showInputMessage="false" sqref="D5:D105" type="list">
      <formula1>"BFSI,Chính phủ,Y tế,Bán lẻ,Sản xuất,Logistics,Truyền thông,Giáo dục"</formula1>
      <formula2>0</formula2>
    </dataValidation>
    <dataValidation allowBlank="true" errorStyle="stop" operator="between" showDropDown="false" showErrorMessage="true" showInputMessage="false" sqref="H5:H105" type="list">
      <formula1>"1. Tìm,2. Tiếp cận,3. Thẩm định,4. Ký,5. Onboarding,6. Kích hoạt,7. Tạo giá trị,8. Đánh giá"</formula1>
      <formula2>0</formula2>
    </dataValidation>
    <dataValidation allowBlank="true" errorStyle="stop" operator="between" showDropDown="false" showErrorMessage="true" showInputMessage="false" sqref="I5:I105" type="list">
      <formula1>"Explorer,Certified,Strategic"</formula1>
      <formula2>0</formula2>
    </dataValidation>
    <dataValidation allowBlank="true" error="Nhập điểm từ 1 đến 5" errorStyle="stop" operator="between" showDropDown="false" showErrorMessage="true" showInputMessage="false" sqref="J5:J105"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24"/>
    <col collapsed="false" customWidth="true" hidden="false" outlineLevel="0" max="5" min="4" style="0" width="13"/>
    <col collapsed="false" customWidth="true" hidden="false" outlineLevel="0" max="6" min="6" style="0" width="24"/>
    <col collapsed="false" customWidth="true" hidden="false" outlineLevel="0" max="8" min="7" style="0" width="20"/>
    <col collapsed="false" customWidth="true" hidden="false" outlineLevel="0" max="9" min="9" style="0" width="15"/>
    <col collapsed="false" customWidth="true" hidden="false" outlineLevel="0" max="10" min="10" style="0" width="48"/>
  </cols>
  <sheetData>
    <row r="1" customFormat="false" ht="17.35" hidden="false" customHeight="false" outlineLevel="0" collapsed="false">
      <c r="A1" s="1" t="s">
        <v>173</v>
      </c>
    </row>
    <row r="2" customFormat="false" ht="42" hidden="false" customHeight="true" outlineLevel="0" collapsed="false">
      <c r="A2" s="13" t="s">
        <v>174</v>
      </c>
      <c r="B2" s="13"/>
      <c r="C2" s="13"/>
      <c r="D2" s="13"/>
      <c r="E2" s="13"/>
      <c r="F2" s="13"/>
      <c r="G2" s="13"/>
      <c r="H2" s="13"/>
      <c r="I2" s="13"/>
      <c r="J2" s="13"/>
    </row>
    <row r="4" customFormat="false" ht="31.5" hidden="false" customHeight="true" outlineLevel="0" collapsed="false">
      <c r="A4" s="14" t="s">
        <v>175</v>
      </c>
      <c r="B4" s="14" t="s">
        <v>176</v>
      </c>
      <c r="C4" s="14" t="s">
        <v>177</v>
      </c>
      <c r="D4" s="14" t="s">
        <v>178</v>
      </c>
      <c r="E4" s="14" t="s">
        <v>179</v>
      </c>
      <c r="F4" s="14" t="s">
        <v>180</v>
      </c>
      <c r="G4" s="14" t="s">
        <v>181</v>
      </c>
      <c r="H4" s="14" t="s">
        <v>182</v>
      </c>
      <c r="I4" s="14" t="s">
        <v>183</v>
      </c>
      <c r="J4" s="14" t="s">
        <v>184</v>
      </c>
    </row>
    <row r="5" customFormat="false" ht="23.85" hidden="false" customHeight="false" outlineLevel="0" collapsed="false">
      <c r="A5" s="19" t="s">
        <v>185</v>
      </c>
      <c r="B5" s="19" t="s">
        <v>186</v>
      </c>
      <c r="C5" s="15" t="s">
        <v>134</v>
      </c>
      <c r="D5" s="17"/>
      <c r="E5" s="17"/>
      <c r="F5" s="19"/>
      <c r="G5" s="19"/>
      <c r="H5" s="15" t="s">
        <v>134</v>
      </c>
      <c r="I5" s="18" t="str">
        <f aca="true">IF(E5="","",IF(E5&lt;TODAY(),"Hết hạn",IF(E5-TODAY()&lt;=60,"Sắp hết hạn","Còn hiệu lực")))</f>
        <v/>
      </c>
      <c r="J5" s="19" t="s">
        <v>187</v>
      </c>
    </row>
    <row r="6" customFormat="false" ht="23.85" hidden="false" customHeight="false" outlineLevel="0" collapsed="false">
      <c r="A6" s="19" t="s">
        <v>188</v>
      </c>
      <c r="B6" s="19" t="s">
        <v>186</v>
      </c>
      <c r="C6" s="15" t="s">
        <v>134</v>
      </c>
      <c r="D6" s="17"/>
      <c r="E6" s="17"/>
      <c r="F6" s="19"/>
      <c r="G6" s="19"/>
      <c r="H6" s="15" t="s">
        <v>134</v>
      </c>
      <c r="I6" s="18" t="str">
        <f aca="true">IF(E6="","",IF(E6&lt;TODAY(),"Hết hạn",IF(E6-TODAY()&lt;=60,"Sắp hết hạn","Còn hiệu lực")))</f>
        <v/>
      </c>
      <c r="J6" s="19" t="s">
        <v>187</v>
      </c>
    </row>
    <row r="7" customFormat="false" ht="23.85" hidden="false" customHeight="false" outlineLevel="0" collapsed="false">
      <c r="A7" s="19" t="s">
        <v>189</v>
      </c>
      <c r="B7" s="19" t="s">
        <v>186</v>
      </c>
      <c r="C7" s="15" t="s">
        <v>134</v>
      </c>
      <c r="D7" s="17"/>
      <c r="E7" s="17"/>
      <c r="F7" s="19"/>
      <c r="G7" s="19"/>
      <c r="H7" s="15" t="s">
        <v>134</v>
      </c>
      <c r="I7" s="18" t="str">
        <f aca="true">IF(E7="","",IF(E7&lt;TODAY(),"Hết hạn",IF(E7-TODAY()&lt;=60,"Sắp hết hạn","Còn hiệu lực")))</f>
        <v/>
      </c>
      <c r="J7" s="19" t="s">
        <v>187</v>
      </c>
    </row>
    <row r="8" customFormat="false" ht="23.85" hidden="false" customHeight="false" outlineLevel="0" collapsed="false">
      <c r="A8" s="19" t="s">
        <v>190</v>
      </c>
      <c r="B8" s="19" t="s">
        <v>186</v>
      </c>
      <c r="C8" s="15" t="s">
        <v>134</v>
      </c>
      <c r="D8" s="17"/>
      <c r="E8" s="17"/>
      <c r="F8" s="19"/>
      <c r="G8" s="19"/>
      <c r="H8" s="15" t="s">
        <v>134</v>
      </c>
      <c r="I8" s="18" t="str">
        <f aca="true">IF(E8="","",IF(E8&lt;TODAY(),"Hết hạn",IF(E8-TODAY()&lt;=60,"Sắp hết hạn","Còn hiệu lực")))</f>
        <v/>
      </c>
      <c r="J8" s="19" t="s">
        <v>187</v>
      </c>
    </row>
    <row r="9" customFormat="false" ht="23.85" hidden="false" customHeight="false" outlineLevel="0" collapsed="false">
      <c r="A9" s="19" t="s">
        <v>191</v>
      </c>
      <c r="B9" s="19" t="s">
        <v>192</v>
      </c>
      <c r="C9" s="15" t="s">
        <v>134</v>
      </c>
      <c r="D9" s="17"/>
      <c r="E9" s="17"/>
      <c r="F9" s="19"/>
      <c r="G9" s="19"/>
      <c r="H9" s="15" t="s">
        <v>134</v>
      </c>
      <c r="I9" s="18" t="str">
        <f aca="true">IF(E9="","",IF(E9&lt;TODAY(),"Hết hạn",IF(E9-TODAY()&lt;=60,"Sắp hết hạn","Còn hiệu lực")))</f>
        <v/>
      </c>
      <c r="J9" s="19" t="s">
        <v>193</v>
      </c>
    </row>
    <row r="10" customFormat="false" ht="23.85" hidden="false" customHeight="false" outlineLevel="0" collapsed="false">
      <c r="A10" s="19" t="s">
        <v>194</v>
      </c>
      <c r="B10" s="19" t="s">
        <v>192</v>
      </c>
      <c r="C10" s="15" t="s">
        <v>134</v>
      </c>
      <c r="D10" s="17"/>
      <c r="E10" s="17"/>
      <c r="F10" s="19"/>
      <c r="G10" s="19"/>
      <c r="H10" s="15" t="s">
        <v>134</v>
      </c>
      <c r="I10" s="18" t="str">
        <f aca="true">IF(E10="","",IF(E10&lt;TODAY(),"Hết hạn",IF(E10-TODAY()&lt;=60,"Sắp hết hạn","Còn hiệu lực")))</f>
        <v/>
      </c>
      <c r="J10" s="19" t="s">
        <v>193</v>
      </c>
    </row>
    <row r="11" customFormat="false" ht="15" hidden="false" customHeight="false" outlineLevel="0" collapsed="false">
      <c r="A11" s="19"/>
      <c r="B11" s="19"/>
      <c r="C11" s="15"/>
      <c r="D11" s="17"/>
      <c r="E11" s="17"/>
      <c r="F11" s="19"/>
      <c r="G11" s="19"/>
      <c r="H11" s="15"/>
      <c r="I11" s="18" t="str">
        <f aca="true">IF(E11="","",IF(E11&lt;TODAY(),"Hết hạn",IF(E11-TODAY()&lt;=60,"Sắp hết hạn","Còn hiệu lực")))</f>
        <v/>
      </c>
      <c r="J11" s="19"/>
    </row>
    <row r="12" customFormat="false" ht="15" hidden="false" customHeight="false" outlineLevel="0" collapsed="false">
      <c r="A12" s="19"/>
      <c r="B12" s="19"/>
      <c r="C12" s="15"/>
      <c r="D12" s="17"/>
      <c r="E12" s="17"/>
      <c r="F12" s="19"/>
      <c r="G12" s="19"/>
      <c r="H12" s="15"/>
      <c r="I12" s="18" t="str">
        <f aca="true">IF(E12="","",IF(E12&lt;TODAY(),"Hết hạn",IF(E12-TODAY()&lt;=60,"Sắp hết hạn","Còn hiệu lực")))</f>
        <v/>
      </c>
      <c r="J12" s="19"/>
    </row>
    <row r="13" customFormat="false" ht="15" hidden="false" customHeight="false" outlineLevel="0" collapsed="false">
      <c r="A13" s="19"/>
      <c r="B13" s="19"/>
      <c r="C13" s="15"/>
      <c r="D13" s="17"/>
      <c r="E13" s="17"/>
      <c r="F13" s="19"/>
      <c r="G13" s="19"/>
      <c r="H13" s="15"/>
      <c r="I13" s="18" t="str">
        <f aca="true">IF(E13="","",IF(E13&lt;TODAY(),"Hết hạn",IF(E13-TODAY()&lt;=60,"Sắp hết hạn","Còn hiệu lực")))</f>
        <v/>
      </c>
      <c r="J13" s="19"/>
    </row>
    <row r="14" customFormat="false" ht="15" hidden="false" customHeight="false" outlineLevel="0" collapsed="false">
      <c r="A14" s="19"/>
      <c r="B14" s="19"/>
      <c r="C14" s="15"/>
      <c r="D14" s="17"/>
      <c r="E14" s="17"/>
      <c r="F14" s="19"/>
      <c r="G14" s="19"/>
      <c r="H14" s="15"/>
      <c r="I14" s="18" t="str">
        <f aca="true">IF(E14="","",IF(E14&lt;TODAY(),"Hết hạn",IF(E14-TODAY()&lt;=60,"Sắp hết hạn","Còn hiệu lực")))</f>
        <v/>
      </c>
      <c r="J14" s="19"/>
    </row>
    <row r="15" customFormat="false" ht="15" hidden="false" customHeight="false" outlineLevel="0" collapsed="false">
      <c r="A15" s="19"/>
      <c r="B15" s="19"/>
      <c r="C15" s="15"/>
      <c r="D15" s="17"/>
      <c r="E15" s="17"/>
      <c r="F15" s="19"/>
      <c r="G15" s="19"/>
      <c r="H15" s="15"/>
      <c r="I15" s="18" t="str">
        <f aca="true">IF(E15="","",IF(E15&lt;TODAY(),"Hết hạn",IF(E15-TODAY()&lt;=60,"Sắp hết hạn","Còn hiệu lực")))</f>
        <v/>
      </c>
      <c r="J15" s="19"/>
    </row>
    <row r="16" customFormat="false" ht="15" hidden="false" customHeight="false" outlineLevel="0" collapsed="false">
      <c r="A16" s="19"/>
      <c r="B16" s="19"/>
      <c r="C16" s="15"/>
      <c r="D16" s="17"/>
      <c r="E16" s="17"/>
      <c r="F16" s="19"/>
      <c r="G16" s="19"/>
      <c r="H16" s="15"/>
      <c r="I16" s="18" t="str">
        <f aca="true">IF(E16="","",IF(E16&lt;TODAY(),"Hết hạn",IF(E16-TODAY()&lt;=60,"Sắp hết hạn","Còn hiệu lực")))</f>
        <v/>
      </c>
      <c r="J16" s="19"/>
    </row>
    <row r="17" customFormat="false" ht="15" hidden="false" customHeight="false" outlineLevel="0" collapsed="false">
      <c r="A17" s="19"/>
      <c r="B17" s="19"/>
      <c r="C17" s="15"/>
      <c r="D17" s="17"/>
      <c r="E17" s="17"/>
      <c r="F17" s="19"/>
      <c r="G17" s="19"/>
      <c r="H17" s="15"/>
      <c r="I17" s="18" t="str">
        <f aca="true">IF(E17="","",IF(E17&lt;TODAY(),"Hết hạn",IF(E17-TODAY()&lt;=60,"Sắp hết hạn","Còn hiệu lực")))</f>
        <v/>
      </c>
      <c r="J17" s="19"/>
    </row>
    <row r="18" customFormat="false" ht="15" hidden="false" customHeight="false" outlineLevel="0" collapsed="false">
      <c r="A18" s="19"/>
      <c r="B18" s="19"/>
      <c r="C18" s="15"/>
      <c r="D18" s="17"/>
      <c r="E18" s="17"/>
      <c r="F18" s="19"/>
      <c r="G18" s="19"/>
      <c r="H18" s="15"/>
      <c r="I18" s="18" t="str">
        <f aca="true">IF(E18="","",IF(E18&lt;TODAY(),"Hết hạn",IF(E18-TODAY()&lt;=60,"Sắp hết hạn","Còn hiệu lực")))</f>
        <v/>
      </c>
      <c r="J18" s="19"/>
    </row>
    <row r="19" customFormat="false" ht="15" hidden="false" customHeight="false" outlineLevel="0" collapsed="false">
      <c r="A19" s="19"/>
      <c r="B19" s="19"/>
      <c r="C19" s="15"/>
      <c r="D19" s="17"/>
      <c r="E19" s="17"/>
      <c r="F19" s="19"/>
      <c r="G19" s="19"/>
      <c r="H19" s="15"/>
      <c r="I19" s="18" t="str">
        <f aca="true">IF(E19="","",IF(E19&lt;TODAY(),"Hết hạn",IF(E19-TODAY()&lt;=60,"Sắp hết hạn","Còn hiệu lực")))</f>
        <v/>
      </c>
      <c r="J19" s="19"/>
    </row>
    <row r="20" customFormat="false" ht="15" hidden="false" customHeight="false" outlineLevel="0" collapsed="false">
      <c r="A20" s="19"/>
      <c r="B20" s="19"/>
      <c r="C20" s="15"/>
      <c r="D20" s="17"/>
      <c r="E20" s="17"/>
      <c r="F20" s="19"/>
      <c r="G20" s="19"/>
      <c r="H20" s="15"/>
      <c r="I20" s="18" t="str">
        <f aca="true">IF(E20="","",IF(E20&lt;TODAY(),"Hết hạn",IF(E20-TODAY()&lt;=60,"Sắp hết hạn","Còn hiệu lực")))</f>
        <v/>
      </c>
      <c r="J20" s="19"/>
    </row>
    <row r="21" customFormat="false" ht="15" hidden="false" customHeight="false" outlineLevel="0" collapsed="false">
      <c r="A21" s="19"/>
      <c r="B21" s="19"/>
      <c r="C21" s="15"/>
      <c r="D21" s="17"/>
      <c r="E21" s="17"/>
      <c r="F21" s="19"/>
      <c r="G21" s="19"/>
      <c r="H21" s="15"/>
      <c r="I21" s="18" t="str">
        <f aca="true">IF(E21="","",IF(E21&lt;TODAY(),"Hết hạn",IF(E21-TODAY()&lt;=60,"Sắp hết hạn","Còn hiệu lực")))</f>
        <v/>
      </c>
      <c r="J21" s="19"/>
    </row>
    <row r="22" customFormat="false" ht="15" hidden="false" customHeight="false" outlineLevel="0" collapsed="false">
      <c r="A22" s="19"/>
      <c r="B22" s="19"/>
      <c r="C22" s="15"/>
      <c r="D22" s="17"/>
      <c r="E22" s="17"/>
      <c r="F22" s="19"/>
      <c r="G22" s="19"/>
      <c r="H22" s="15"/>
      <c r="I22" s="18" t="str">
        <f aca="true">IF(E22="","",IF(E22&lt;TODAY(),"Hết hạn",IF(E22-TODAY()&lt;=60,"Sắp hết hạn","Còn hiệu lực")))</f>
        <v/>
      </c>
      <c r="J22" s="19"/>
    </row>
    <row r="23" customFormat="false" ht="15" hidden="false" customHeight="false" outlineLevel="0" collapsed="false">
      <c r="A23" s="19"/>
      <c r="B23" s="19"/>
      <c r="C23" s="15"/>
      <c r="D23" s="17"/>
      <c r="E23" s="17"/>
      <c r="F23" s="19"/>
      <c r="G23" s="19"/>
      <c r="H23" s="15"/>
      <c r="I23" s="18" t="str">
        <f aca="true">IF(E23="","",IF(E23&lt;TODAY(),"Hết hạn",IF(E23-TODAY()&lt;=60,"Sắp hết hạn","Còn hiệu lực")))</f>
        <v/>
      </c>
      <c r="J23" s="19"/>
    </row>
    <row r="24" customFormat="false" ht="15" hidden="false" customHeight="false" outlineLevel="0" collapsed="false">
      <c r="A24" s="19"/>
      <c r="B24" s="19"/>
      <c r="C24" s="15"/>
      <c r="D24" s="17"/>
      <c r="E24" s="17"/>
      <c r="F24" s="19"/>
      <c r="G24" s="19"/>
      <c r="H24" s="15"/>
      <c r="I24" s="18" t="str">
        <f aca="true">IF(E24="","",IF(E24&lt;TODAY(),"Hết hạn",IF(E24-TODAY()&lt;=60,"Sắp hết hạn","Còn hiệu lực")))</f>
        <v/>
      </c>
      <c r="J24" s="19"/>
    </row>
    <row r="25" customFormat="false" ht="15" hidden="false" customHeight="false" outlineLevel="0" collapsed="false">
      <c r="A25" s="19"/>
      <c r="B25" s="19"/>
      <c r="C25" s="15"/>
      <c r="D25" s="17"/>
      <c r="E25" s="17"/>
      <c r="F25" s="19"/>
      <c r="G25" s="19"/>
      <c r="H25" s="15"/>
      <c r="I25" s="18" t="str">
        <f aca="true">IF(E25="","",IF(E25&lt;TODAY(),"Hết hạn",IF(E25-TODAY()&lt;=60,"Sắp hết hạn","Còn hiệu lực")))</f>
        <v/>
      </c>
      <c r="J25" s="19"/>
    </row>
    <row r="26" customFormat="false" ht="15" hidden="false" customHeight="false" outlineLevel="0" collapsed="false">
      <c r="A26" s="19"/>
      <c r="B26" s="19"/>
      <c r="C26" s="15"/>
      <c r="D26" s="17"/>
      <c r="E26" s="17"/>
      <c r="F26" s="19"/>
      <c r="G26" s="19"/>
      <c r="H26" s="15"/>
      <c r="I26" s="18" t="str">
        <f aca="true">IF(E26="","",IF(E26&lt;TODAY(),"Hết hạn",IF(E26-TODAY()&lt;=60,"Sắp hết hạn","Còn hiệu lực")))</f>
        <v/>
      </c>
      <c r="J26" s="19"/>
    </row>
    <row r="27" customFormat="false" ht="15" hidden="false" customHeight="false" outlineLevel="0" collapsed="false">
      <c r="A27" s="19"/>
      <c r="B27" s="19"/>
      <c r="C27" s="15"/>
      <c r="D27" s="17"/>
      <c r="E27" s="17"/>
      <c r="F27" s="19"/>
      <c r="G27" s="19"/>
      <c r="H27" s="15"/>
      <c r="I27" s="18" t="str">
        <f aca="true">IF(E27="","",IF(E27&lt;TODAY(),"Hết hạn",IF(E27-TODAY()&lt;=60,"Sắp hết hạn","Còn hiệu lực")))</f>
        <v/>
      </c>
      <c r="J27" s="19"/>
    </row>
    <row r="28" customFormat="false" ht="15" hidden="false" customHeight="false" outlineLevel="0" collapsed="false">
      <c r="A28" s="19"/>
      <c r="B28" s="19"/>
      <c r="C28" s="15"/>
      <c r="D28" s="17"/>
      <c r="E28" s="17"/>
      <c r="F28" s="19"/>
      <c r="G28" s="19"/>
      <c r="H28" s="15"/>
      <c r="I28" s="18" t="str">
        <f aca="true">IF(E28="","",IF(E28&lt;TODAY(),"Hết hạn",IF(E28-TODAY()&lt;=60,"Sắp hết hạn","Còn hiệu lực")))</f>
        <v/>
      </c>
      <c r="J28" s="19"/>
    </row>
    <row r="29" customFormat="false" ht="15" hidden="false" customHeight="false" outlineLevel="0" collapsed="false">
      <c r="A29" s="19"/>
      <c r="B29" s="19"/>
      <c r="C29" s="15"/>
      <c r="D29" s="17"/>
      <c r="E29" s="17"/>
      <c r="F29" s="19"/>
      <c r="G29" s="19"/>
      <c r="H29" s="15"/>
      <c r="I29" s="18" t="str">
        <f aca="true">IF(E29="","",IF(E29&lt;TODAY(),"Hết hạn",IF(E29-TODAY()&lt;=60,"Sắp hết hạn","Còn hiệu lực")))</f>
        <v/>
      </c>
      <c r="J29" s="19"/>
    </row>
    <row r="30" customFormat="false" ht="15" hidden="false" customHeight="false" outlineLevel="0" collapsed="false">
      <c r="A30" s="19"/>
      <c r="B30" s="19"/>
      <c r="C30" s="15"/>
      <c r="D30" s="17"/>
      <c r="E30" s="17"/>
      <c r="F30" s="19"/>
      <c r="G30" s="19"/>
      <c r="H30" s="15"/>
      <c r="I30" s="18" t="str">
        <f aca="true">IF(E30="","",IF(E30&lt;TODAY(),"Hết hạn",IF(E30-TODAY()&lt;=60,"Sắp hết hạn","Còn hiệu lực")))</f>
        <v/>
      </c>
      <c r="J30" s="19"/>
    </row>
    <row r="31" customFormat="false" ht="15" hidden="false" customHeight="false" outlineLevel="0" collapsed="false">
      <c r="A31" s="19"/>
      <c r="B31" s="19"/>
      <c r="C31" s="15"/>
      <c r="D31" s="17"/>
      <c r="E31" s="17"/>
      <c r="F31" s="19"/>
      <c r="G31" s="19"/>
      <c r="H31" s="15"/>
      <c r="I31" s="18" t="str">
        <f aca="true">IF(E31="","",IF(E31&lt;TODAY(),"Hết hạn",IF(E31-TODAY()&lt;=60,"Sắp hết hạn","Còn hiệu lực")))</f>
        <v/>
      </c>
      <c r="J31" s="19"/>
    </row>
    <row r="32" customFormat="false" ht="15" hidden="false" customHeight="false" outlineLevel="0" collapsed="false">
      <c r="A32" s="19"/>
      <c r="B32" s="19"/>
      <c r="C32" s="15"/>
      <c r="D32" s="17"/>
      <c r="E32" s="17"/>
      <c r="F32" s="19"/>
      <c r="G32" s="19"/>
      <c r="H32" s="15"/>
      <c r="I32" s="18" t="str">
        <f aca="true">IF(E32="","",IF(E32&lt;TODAY(),"Hết hạn",IF(E32-TODAY()&lt;=60,"Sắp hết hạn","Còn hiệu lực")))</f>
        <v/>
      </c>
      <c r="J32" s="19"/>
    </row>
    <row r="33" customFormat="false" ht="15" hidden="false" customHeight="false" outlineLevel="0" collapsed="false">
      <c r="A33" s="19"/>
      <c r="B33" s="19"/>
      <c r="C33" s="15"/>
      <c r="D33" s="17"/>
      <c r="E33" s="17"/>
      <c r="F33" s="19"/>
      <c r="G33" s="19"/>
      <c r="H33" s="15"/>
      <c r="I33" s="18" t="str">
        <f aca="true">IF(E33="","",IF(E33&lt;TODAY(),"Hết hạn",IF(E33-TODAY()&lt;=60,"Sắp hết hạn","Còn hiệu lực")))</f>
        <v/>
      </c>
      <c r="J33" s="19"/>
    </row>
    <row r="34" customFormat="false" ht="15" hidden="false" customHeight="false" outlineLevel="0" collapsed="false">
      <c r="A34" s="19"/>
      <c r="B34" s="19"/>
      <c r="C34" s="15"/>
      <c r="D34" s="17"/>
      <c r="E34" s="17"/>
      <c r="F34" s="19"/>
      <c r="G34" s="19"/>
      <c r="H34" s="15"/>
      <c r="I34" s="18" t="str">
        <f aca="true">IF(E34="","",IF(E34&lt;TODAY(),"Hết hạn",IF(E34-TODAY()&lt;=60,"Sắp hết hạn","Còn hiệu lực")))</f>
        <v/>
      </c>
      <c r="J34" s="19"/>
    </row>
  </sheetData>
  <autoFilter ref="A4:J34"/>
  <mergeCells count="1">
    <mergeCell ref="A2:J2"/>
  </mergeCells>
  <conditionalFormatting sqref="I5:I34">
    <cfRule type="cellIs" priority="2" operator="equal" aboveAverage="0" equalAverage="0" bottom="0" percent="0" rank="0" text="" dxfId="8">
      <formula>"Hết hạn"</formula>
    </cfRule>
    <cfRule type="cellIs" priority="3" operator="equal" aboveAverage="0" equalAverage="0" bottom="0" percent="0" rank="0" text="" dxfId="7">
      <formula>"Sắp hết hạn"</formula>
    </cfRule>
    <cfRule type="cellIs" priority="4" operator="equal" aboveAverage="0" equalAverage="0" bottom="0" percent="0" rank="0" text="" dxfId="6">
      <formula>"Còn hiệu lực"</formula>
    </cfRule>
  </conditionalFormatting>
  <dataValidations count="3">
    <dataValidation allowBlank="true" errorStyle="stop" operator="between" showDropDown="false" showErrorMessage="true" showInputMessage="false" sqref="B5:B34" type="list">
      <formula1>"Kênh bán,Hạ tầng và mạng,Hãng công nghệ,Hệ sinh thái và cơ quan,Khu vực,Khác"</formula1>
      <formula2>0</formula2>
    </dataValidation>
    <dataValidation allowBlank="true" errorStyle="stop" operator="between" showDropDown="false" showErrorMessage="true" showInputMessage="false" sqref="C5:C34" type="list">
      <formula1>"MOU,Hợp đồng đại lý,Hợp đồng dịch vụ,Thỏa thuận phân phối,Chưa có,Chưa rõ"</formula1>
      <formula2>0</formula2>
    </dataValidation>
    <dataValidation allowBlank="true" errorStyle="stop" operator="between" showDropDown="false" showErrorMessage="true" showInputMessage="false" sqref="H5:H34" type="list">
      <formula1>"Có,Không,Chưa rõ"</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5" min="2" style="0" width="14"/>
    <col collapsed="false" customWidth="true" hidden="false" outlineLevel="0" max="6" min="6" style="0" width="18"/>
    <col collapsed="false" customWidth="true" hidden="false" outlineLevel="0" max="7" min="7" style="0" width="30"/>
  </cols>
  <sheetData>
    <row r="1" customFormat="false" ht="17.35" hidden="false" customHeight="false" outlineLevel="0" collapsed="false">
      <c r="A1" s="1" t="s">
        <v>195</v>
      </c>
    </row>
    <row r="2" customFormat="false" ht="15" hidden="false" customHeight="false" outlineLevel="0" collapsed="false">
      <c r="A2" s="4" t="s">
        <v>196</v>
      </c>
    </row>
    <row r="4" customFormat="false" ht="31.5" hidden="false" customHeight="true" outlineLevel="0" collapsed="false">
      <c r="A4" s="14" t="s">
        <v>197</v>
      </c>
      <c r="B4" s="14" t="s">
        <v>198</v>
      </c>
      <c r="C4" s="14" t="s">
        <v>199</v>
      </c>
      <c r="D4" s="14" t="s">
        <v>200</v>
      </c>
      <c r="E4" s="14" t="s">
        <v>201</v>
      </c>
      <c r="F4" s="14" t="s">
        <v>183</v>
      </c>
      <c r="G4" s="14" t="s">
        <v>60</v>
      </c>
    </row>
    <row r="5" customFormat="false" ht="15" hidden="false" customHeight="false" outlineLevel="0" collapsed="false">
      <c r="A5" s="6" t="s">
        <v>202</v>
      </c>
      <c r="B5" s="7" t="s">
        <v>203</v>
      </c>
      <c r="C5" s="15" t="n">
        <v>7</v>
      </c>
      <c r="D5" s="17"/>
      <c r="E5" s="16" t="str">
        <f aca="false">IF(D5="","",D5+C5)</f>
        <v/>
      </c>
      <c r="F5" s="18" t="str">
        <f aca="true">IF(E5="","Chưa làm lần nào",IF(E5&lt;TODAY(),"Quá hạn","Đúng hạn"))</f>
        <v>Chưa làm lần nào</v>
      </c>
      <c r="G5" s="19"/>
    </row>
    <row r="6" customFormat="false" ht="15" hidden="false" customHeight="false" outlineLevel="0" collapsed="false">
      <c r="A6" s="6" t="s">
        <v>204</v>
      </c>
      <c r="B6" s="7" t="s">
        <v>203</v>
      </c>
      <c r="C6" s="15" t="n">
        <v>7</v>
      </c>
      <c r="D6" s="17"/>
      <c r="E6" s="16" t="str">
        <f aca="false">IF(D6="","",D6+C6)</f>
        <v/>
      </c>
      <c r="F6" s="18" t="str">
        <f aca="true">IF(E6="","Chưa làm lần nào",IF(E6&lt;TODAY(),"Quá hạn","Đúng hạn"))</f>
        <v>Chưa làm lần nào</v>
      </c>
      <c r="G6" s="19"/>
    </row>
    <row r="7" customFormat="false" ht="15" hidden="false" customHeight="false" outlineLevel="0" collapsed="false">
      <c r="A7" s="6" t="s">
        <v>205</v>
      </c>
      <c r="B7" s="7" t="s">
        <v>206</v>
      </c>
      <c r="C7" s="15" t="n">
        <v>30</v>
      </c>
      <c r="D7" s="17"/>
      <c r="E7" s="16" t="str">
        <f aca="false">IF(D7="","",D7+C7)</f>
        <v/>
      </c>
      <c r="F7" s="18" t="str">
        <f aca="true">IF(E7="","Chưa làm lần nào",IF(E7&lt;TODAY(),"Quá hạn","Đúng hạn"))</f>
        <v>Chưa làm lần nào</v>
      </c>
      <c r="G7" s="19"/>
    </row>
    <row r="8" customFormat="false" ht="15" hidden="false" customHeight="false" outlineLevel="0" collapsed="false">
      <c r="A8" s="6" t="s">
        <v>207</v>
      </c>
      <c r="B8" s="7" t="s">
        <v>208</v>
      </c>
      <c r="C8" s="15" t="n">
        <v>90</v>
      </c>
      <c r="D8" s="17"/>
      <c r="E8" s="16" t="str">
        <f aca="false">IF(D8="","",D8+C8)</f>
        <v/>
      </c>
      <c r="F8" s="18" t="str">
        <f aca="true">IF(E8="","Chưa làm lần nào",IF(E8&lt;TODAY(),"Quá hạn","Đúng hạn"))</f>
        <v>Chưa làm lần nào</v>
      </c>
      <c r="G8" s="19"/>
    </row>
    <row r="9" customFormat="false" ht="15" hidden="false" customHeight="false" outlineLevel="0" collapsed="false">
      <c r="A9" s="6" t="s">
        <v>209</v>
      </c>
      <c r="B9" s="7" t="s">
        <v>208</v>
      </c>
      <c r="C9" s="15" t="n">
        <v>90</v>
      </c>
      <c r="D9" s="17"/>
      <c r="E9" s="16" t="str">
        <f aca="false">IF(D9="","",D9+C9)</f>
        <v/>
      </c>
      <c r="F9" s="18" t="str">
        <f aca="true">IF(E9="","Chưa làm lần nào",IF(E9&lt;TODAY(),"Quá hạn","Đúng hạn"))</f>
        <v>Chưa làm lần nào</v>
      </c>
      <c r="G9" s="19"/>
    </row>
    <row r="10" customFormat="false" ht="15" hidden="false" customHeight="false" outlineLevel="0" collapsed="false">
      <c r="A10" s="6" t="s">
        <v>210</v>
      </c>
      <c r="B10" s="7" t="s">
        <v>208</v>
      </c>
      <c r="C10" s="15" t="n">
        <v>90</v>
      </c>
      <c r="D10" s="17"/>
      <c r="E10" s="16" t="str">
        <f aca="false">IF(D10="","",D10+C10)</f>
        <v/>
      </c>
      <c r="F10" s="18" t="str">
        <f aca="true">IF(E10="","Chưa làm lần nào",IF(E10&lt;TODAY(),"Quá hạn","Đúng hạn"))</f>
        <v>Chưa làm lần nào</v>
      </c>
      <c r="G10" s="19"/>
    </row>
  </sheetData>
  <conditionalFormatting sqref="F5:F10">
    <cfRule type="expression" priority="2" aboveAverage="0" equalAverage="0" bottom="0" percent="0" rank="0" text="" dxfId="0">
      <formula>ISNUMBER(SEARCH("quá hạn",F5))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2026-10-30T03:17:18Z</dcterms:created>
  <dc:creator>openpyxl</dc:creator>
  <dc:description/>
  <dc:language>en-US</dc:language>
  <cp:lastModifiedBy/>
  <dcterms:modified xsi:type="dcterms:W3CDTF">2026-10-30T03:17:18Z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