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5.xml.rels" ContentType="application/vnd.openxmlformats-package.relationship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Tổng quan" sheetId="1" state="visible" r:id="rId3"/>
    <sheet name="V-Tech Hub" sheetId="2" state="visible" r:id="rId4"/>
    <sheet name="Mảng ngoài Hub" sheetId="3" state="visible" r:id="rId5"/>
    <sheet name="Theo dõi partner" sheetId="4" state="visible" r:id="rId6"/>
    <sheet name="Sổ đối tác toàn công ty" sheetId="5" state="visible" r:id="rId7"/>
    <sheet name="Nhịp làm việc" sheetId="6" state="visible" r:id="rId8"/>
  </sheets>
  <definedNames>
    <definedName function="false" hidden="true" localSheetId="4" name="_xlnm._FilterDatabase" vbProcedure="false">'Sổ đối tác toàn công ty'!$A$4:$J$34</definedName>
    <definedName function="false" hidden="true" localSheetId="3" name="_xlnm._FilterDatabase" vbProcedure="false">'Theo dõi partner'!$A$4:$O$104</definedName>
    <definedName function="false" hidden="true" localSheetId="1" name="_xlnm._FilterDatabase" vbProcedure="false">'V-Tech Hub'!$A$4:$L$24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<sst xmlns="http://schemas.openxmlformats.org/spreadsheetml/2006/main" count="330" uniqueCount="219">
  <si>
    <t xml:space="preserve">Kế hoạch phòng Partnership: tổng quan</t>
  </si>
  <si>
    <t xml:space="preserve">Ngày bắt đầu kế hoạch</t>
  </si>
  <si>
    <t xml:space="preserve">Nhập ngày lãnh đạo phê duyệt; hạn của các đầu việc ở sheet V-Tech Hub tính từ ngày này.</t>
  </si>
  <si>
    <t xml:space="preserve">Tiến độ V-Tech Hub</t>
  </si>
  <si>
    <t xml:space="preserve">Số việc</t>
  </si>
  <si>
    <t xml:space="preserve">Trụ cột</t>
  </si>
  <si>
    <t xml:space="preserve">Tổng việc</t>
  </si>
  <si>
    <t xml:space="preserve">Hoàn thành</t>
  </si>
  <si>
    <t xml:space="preserve">Tỷ lệ</t>
  </si>
  <si>
    <t xml:space="preserve">Chưa bắt đầu</t>
  </si>
  <si>
    <t xml:space="preserve">1. Làm đầy sân</t>
  </si>
  <si>
    <t xml:space="preserve">Đang làm</t>
  </si>
  <si>
    <t xml:space="preserve">2. Đặt luật chơi</t>
  </si>
  <si>
    <t xml:space="preserve">3. Kéo người chơi vào</t>
  </si>
  <si>
    <t xml:space="preserve">Vướng</t>
  </si>
  <si>
    <t xml:space="preserve">4. Biến quan tâm thành giao dịch</t>
  </si>
  <si>
    <t xml:space="preserve">Tổng số việc</t>
  </si>
  <si>
    <t xml:space="preserve">5. Giữ sân sống</t>
  </si>
  <si>
    <t xml:space="preserve">Tỷ lệ hoàn thành</t>
  </si>
  <si>
    <t xml:space="preserve">Việc quá hạn</t>
  </si>
  <si>
    <t xml:space="preserve">Phễu partner</t>
  </si>
  <si>
    <t xml:space="preserve">Số partner</t>
  </si>
  <si>
    <t xml:space="preserve">Hạng partner</t>
  </si>
  <si>
    <t xml:space="preserve">1. Tìm</t>
  </si>
  <si>
    <t xml:space="preserve">Explorer</t>
  </si>
  <si>
    <t xml:space="preserve">2. Tiếp cận</t>
  </si>
  <si>
    <t xml:space="preserve">Certified</t>
  </si>
  <si>
    <t xml:space="preserve">3. Thẩm định</t>
  </si>
  <si>
    <t xml:space="preserve">Strategic</t>
  </si>
  <si>
    <t xml:space="preserve">4. Ký</t>
  </si>
  <si>
    <t xml:space="preserve">Partner có cảnh báo</t>
  </si>
  <si>
    <t xml:space="preserve">5. Onboarding</t>
  </si>
  <si>
    <t xml:space="preserve">6. Kích hoạt</t>
  </si>
  <si>
    <t xml:space="preserve">Việc khác</t>
  </si>
  <si>
    <t xml:space="preserve">Số lượng</t>
  </si>
  <si>
    <t xml:space="preserve">7. Tạo giá trị</t>
  </si>
  <si>
    <t xml:space="preserve">Việc định kỳ quá hạn</t>
  </si>
  <si>
    <t xml:space="preserve">8. Đánh giá</t>
  </si>
  <si>
    <t xml:space="preserve">Hợp đồng đối tác sắp hết hạn hoặc hết hạn</t>
  </si>
  <si>
    <t xml:space="preserve">Tổng partner đang theo dõi</t>
  </si>
  <si>
    <t xml:space="preserve">Mảng ngoài Hub chưa rõ phụ trách</t>
  </si>
  <si>
    <t xml:space="preserve">Cách dùng</t>
  </si>
  <si>
    <t xml:space="preserve">1. Nhập ngày bắt đầu ở ô B3. Ô vàng là ô bạn nhập; ô xám là công thức, đừng sửa.</t>
  </si>
  <si>
    <t xml:space="preserve">2. Sheet V-Tech Hub: cập nhật Trạng thái và Ngày hoàn thành mỗi khi xong việc; có thể sửa số ngày hạn.</t>
  </si>
  <si>
    <t xml:space="preserve">3. Sheet Theo dõi partner: mỗi partner một dòng; ba dòng đầu lấy từ file danh mục solution, cập nhật Bước hiện tại, Hạng và Việc tiếp theo khi có tiến triển.</t>
  </si>
  <si>
    <t xml:space="preserve">4. Sheet Sổ đối tác toàn công ty: điền dần khi xác nhận hợp đồng; ba hãng công nghệ lấy từ file danh mục, bốn đối tác hạ tầng lấy từ trang Foundry, chưa xác nhận.</t>
  </si>
  <si>
    <t xml:space="preserve">5. Sheet Nhịp làm việc: ghi ngày làm lần gần nhất để biết khi nào đến hạn lần sau.</t>
  </si>
  <si>
    <t xml:space="preserve">6. Các mốc số ngày và danh sách đầu việc là đề xuất của kế hoạch, sửa theo mục tiêu lãnh đạo giao.</t>
  </si>
  <si>
    <t xml:space="preserve">V-Tech Hub: bảng đầu việc theo 5 trụ cột</t>
  </si>
  <si>
    <t xml:space="preserve">Ô vàng là ô bạn nhập (trạng thái, ngày hoàn thành, ghi chú, số ngày hạn). Cột xám là công thức, không sửa. Hạn dự kiến = Ngày bắt đầu (sheet Tổng quan) + số ngày ở cột G. Số ngày là đề xuất: tuần 1–2 = 14, tháng 1 = 30, tháng 2 = 60, tháng 3 = 90, tháng 4 = 120, tháng 6 = 180.</t>
  </si>
  <si>
    <t xml:space="preserve">#</t>
  </si>
  <si>
    <t xml:space="preserve">Đầu việc</t>
  </si>
  <si>
    <t xml:space="preserve">Đầu ra</t>
  </si>
  <si>
    <t xml:space="preserve">Phối hợp</t>
  </si>
  <si>
    <t xml:space="preserve">Ưu tiên</t>
  </si>
  <si>
    <t xml:space="preserve">Hạn (số ngày từ ngày bắt đầu)</t>
  </si>
  <si>
    <t xml:space="preserve">Hạn dự kiến</t>
  </si>
  <si>
    <t xml:space="preserve">Trạng thái</t>
  </si>
  <si>
    <t xml:space="preserve">Ngày hoàn thành</t>
  </si>
  <si>
    <t xml:space="preserve">Cảnh báo</t>
  </si>
  <si>
    <t xml:space="preserve">Ghi chú</t>
  </si>
  <si>
    <t xml:space="preserve">Lập sổ partner cho các giải pháp trên Hub (của VNETWORK hay partner nào, hợp đồng gì)</t>
  </si>
  <si>
    <t xml:space="preserve">Sổ partner</t>
  </si>
  <si>
    <t xml:space="preserve">Presales, Kinh doanh</t>
  </si>
  <si>
    <t xml:space="preserve">Cao</t>
  </si>
  <si>
    <t xml:space="preserve">Lập ma trận ngành × giải pháp để thấy chỗ trống</t>
  </si>
  <si>
    <t xml:space="preserve">Ma trận phủ</t>
  </si>
  <si>
    <t xml:space="preserve">Presales</t>
  </si>
  <si>
    <t xml:space="preserve">Chọn 20 partner mục tiêu, chấm điểm độ phù hợp với BFSI và tiếp cận</t>
  </si>
  <si>
    <t xml:space="preserve">Danh sách có chấm điểm</t>
  </si>
  <si>
    <t xml:space="preserve">Presales, Vtro</t>
  </si>
  <si>
    <t xml:space="preserve">Ký 3–5 design partner (technology và domain consultant)</t>
  </si>
  <si>
    <t xml:space="preserve">3–5 MOU đã ký</t>
  </si>
  <si>
    <t xml:space="preserve">Pháp lý</t>
  </si>
  <si>
    <t xml:space="preserve">Chốt với lãnh đạo: mô hình sân chơi, phạm vi phòng, mục tiêu 12 tháng, ngân sách, quyền ký</t>
  </si>
  <si>
    <t xml:space="preserve">Biên bản quyết định</t>
  </si>
  <si>
    <t xml:space="preserve">Lãnh đạo, Finance</t>
  </si>
  <si>
    <t xml:space="preserve">Viết Playbook v1: onboarding, kỹ thuật, thương mại, SLA, thương hiệu</t>
  </si>
  <si>
    <t xml:space="preserve">Playbook v1 được duyệt</t>
  </si>
  <si>
    <t xml:space="preserve">Pháp lý, Finance, SOC</t>
  </si>
  <si>
    <t xml:space="preserve">Thiết kế khung hạng (Explorer, Certified, Strategic) và hoa hồng</t>
  </si>
  <si>
    <t xml:space="preserve">Khung hạng và hoa hồng (tỷ lệ do Finance chốt)</t>
  </si>
  <si>
    <t xml:space="preserve">Finance, Kinh doanh</t>
  </si>
  <si>
    <t xml:space="preserve">Soạn mẫu MOU và quy tắc đăng ký deal</t>
  </si>
  <si>
    <t xml:space="preserve">Mẫu MOU; quy tắc deal</t>
  </si>
  <si>
    <t xml:space="preserve">Pháp lý, Kinh doanh</t>
  </si>
  <si>
    <t xml:space="preserve">Rà soát các tuyên bố trên site (tên bên thứ ba, số liệu) cùng Pháp lý và Marketing</t>
  </si>
  <si>
    <t xml:space="preserve">Danh sách tuyên bố đã xác nhận</t>
  </si>
  <si>
    <t xml:space="preserve">Pháp lý, Marketing</t>
  </si>
  <si>
    <t xml:space="preserve">Làm bộ hồ sơ partner và bổ sung hồ sơ chuyên gia (ảnh, bio)</t>
  </si>
  <si>
    <t xml:space="preserve">Partner kit; hồ sơ chuyên gia đủ</t>
  </si>
  <si>
    <t xml:space="preserve">Marketing, Vtro</t>
  </si>
  <si>
    <t xml:space="preserve">Trung bình</t>
  </si>
  <si>
    <t xml:space="preserve">Dựng trang "Trở thành đối tác" và quy trình thẩm định 90 ngày</t>
  </si>
  <si>
    <t xml:space="preserve">Trang, biểu mẫu, quy trình</t>
  </si>
  <si>
    <t xml:space="preserve">Marketing, IT</t>
  </si>
  <si>
    <t xml:space="preserve">Nối biểu mẫu liên hệ vào CRM, chỉ định người phản hồi trong 1 ngày làm việc</t>
  </si>
  <si>
    <t xml:space="preserve">Lead vào CRM, có SLA phản hồi</t>
  </si>
  <si>
    <t xml:space="preserve">Kinh doanh, IT</t>
  </si>
  <si>
    <t xml:space="preserve">Chạy 1 nội dung co-marketing đầu tiên cùng Vtro</t>
  </si>
  <si>
    <t xml:space="preserve">1 sự kiện hoặc nội dung</t>
  </si>
  <si>
    <t xml:space="preserve">Vtro, Marketing</t>
  </si>
  <si>
    <t xml:space="preserve">Viết quy trình PoC: môi trường, chi phí, thời hạn, tiêu chí thành công</t>
  </si>
  <si>
    <t xml:space="preserve">PoC playbook</t>
  </si>
  <si>
    <t xml:space="preserve">Presales, SOC</t>
  </si>
  <si>
    <t xml:space="preserve">Chạy 2–3 PoC thật với design partner</t>
  </si>
  <si>
    <t xml:space="preserve">Báo cáo PoC</t>
  </si>
  <si>
    <t xml:space="preserve">Presales, đội kỹ thuật</t>
  </si>
  <si>
    <t xml:space="preserve">Chốt 1–2 deal đầu tiên, đối soát hoa hồng đúng khung</t>
  </si>
  <si>
    <t xml:space="preserve">1–2 deal; bảng đối soát</t>
  </si>
  <si>
    <t xml:space="preserve">Kinh doanh, Finance</t>
  </si>
  <si>
    <t xml:space="preserve">Viết case study đầu tiên</t>
  </si>
  <si>
    <t xml:space="preserve">Case study được duyệt</t>
  </si>
  <si>
    <t xml:space="preserve">Marketing, Pháp lý</t>
  </si>
  <si>
    <t xml:space="preserve">Đánh giá Explorer lên Certified lần đầu; sửa chuẩn theo thực tế</t>
  </si>
  <si>
    <t xml:space="preserve">Báo cáo đánh giá; Playbook v1.1</t>
  </si>
  <si>
    <t xml:space="preserve">SOC, Pháp lý</t>
  </si>
  <si>
    <t xml:space="preserve">Báo cáo hằng quý cho lãnh đạo (partner hoạt động, pipeline, doanh thu, NPS)</t>
  </si>
  <si>
    <t xml:space="preserve">Báo cáo quý</t>
  </si>
  <si>
    <t xml:space="preserve">Finance</t>
  </si>
  <si>
    <t xml:space="preserve">Tuyển người thứ 2 (Partner Operations) khi có hơn 10 partner hoạt động</t>
  </si>
  <si>
    <t xml:space="preserve">Nhân sự mới</t>
  </si>
  <si>
    <t xml:space="preserve">HR, Lãnh đạo</t>
  </si>
  <si>
    <t xml:space="preserve">Các mảng ngoài V-Tech Hub</t>
  </si>
  <si>
    <t xml:space="preserve">Các mảng này là gợi ý, cần xác nhận phòng đang phụ trách mảng nào. Điền cột E và F rồi chuyển trạng thái. Việc đầu tiên cho tất cả: lập sổ quan hệ đối tác toàn công ty (sheet Sổ đối tác toàn công ty).</t>
  </si>
  <si>
    <t xml:space="preserve">Mảng</t>
  </si>
  <si>
    <t xml:space="preserve">Mục đích</t>
  </si>
  <si>
    <t xml:space="preserve">Đầu việc chính</t>
  </si>
  <si>
    <t xml:space="preserve">Phòng đang phụ trách?</t>
  </si>
  <si>
    <t xml:space="preserve">Người hoặc phòng phụ trách</t>
  </si>
  <si>
    <t xml:space="preserve">Kênh bán cho sản phẩm tự có (VCLOUD, CDN, bảo mật, email, SOC)</t>
  </si>
  <si>
    <t xml:space="preserve">Mở rộng doanh thu qua đại lý, reseller, SI</t>
  </si>
  <si>
    <t xml:space="preserve">Định nghĩa chương trình kênh, chiết khấu, đăng ký deal, đào tạo</t>
  </si>
  <si>
    <t xml:space="preserve">Chương trình kênh; số đại lý hoạt động; doanh thu qua kênh</t>
  </si>
  <si>
    <t xml:space="preserve">Chưa rõ</t>
  </si>
  <si>
    <t xml:space="preserve">Đối tác hạ tầng và mạng (data center, nhà mạng)</t>
  </si>
  <si>
    <t xml:space="preserve">Giữ hạ tầng và dữ liệu trong nước ổn định, đúng cam kết</t>
  </si>
  <si>
    <t xml:space="preserve">Rà hợp đồng, SLA, quyền dùng tên trên tài liệu; quản lý quan hệ định kỳ</t>
  </si>
  <si>
    <t xml:space="preserve">Sổ đối tác hạ tầng; lịch gia hạn; xác nhận cho phép dùng tên</t>
  </si>
  <si>
    <t xml:space="preserve">Liên minh với hãng công nghệ</t>
  </si>
  <si>
    <t xml:space="preserve">Có sản phẩm tốt để tích hợp, giá và hỗ trợ tốt</t>
  </si>
  <si>
    <t xml:space="preserve">Ký thỏa thuận phân phối, chứng chỉ kỹ thuật, ưu đãi dự án, lộ trình sản phẩm</t>
  </si>
  <si>
    <t xml:space="preserve">Hợp đồng hãng; chứng chỉ đội kỹ thuật; bảng giá đối tác</t>
  </si>
  <si>
    <t xml:space="preserve">Hệ sinh thái và cơ quan (hiệp hội, cơ quan nhà nước, trường, cộng đồng)</t>
  </si>
  <si>
    <t xml:space="preserve">Tạo niềm tin và cửa vào ngành, nhất là Chính phủ và BFSI</t>
  </si>
  <si>
    <t xml:space="preserve">Chọn 3–5 tổ chức then chốt, đồng tổ chức sự kiện, chia sẻ nội dung</t>
  </si>
  <si>
    <t xml:space="preserve">Danh sách tổ chức; sự kiện chung; lead từ hệ sinh thái</t>
  </si>
  <si>
    <t xml:space="preserve">Mở rộng khu vực (nếu có kế hoạch ngoài Việt Nam)</t>
  </si>
  <si>
    <t xml:space="preserve">Mở thị trường qua đối tác địa phương</t>
  </si>
  <si>
    <t xml:space="preserve">Chọn thị trường, tìm đối tác thí điểm</t>
  </si>
  <si>
    <t xml:space="preserve">Chỉ nên làm sau năm 2</t>
  </si>
  <si>
    <t xml:space="preserve">Theo dõi partner (mỗi partner một dòng)</t>
  </si>
  <si>
    <t xml:space="preserve">Ba dòng đầu lấy từ file Vtech_Foundry_Danh_muc_Solutions_Chi_tiet.xlsx (danh mục solution). Ngành, giải pháp, việc tiếp theo và ghi chú lấy từ file đó; các ô còn trống (đầu mối, điểm phù hợp, hạng, ngày liên hệ) bạn tự điền. Chọn loại, bước và hạng từ danh sách thả xuống; cột Ngành cho phép nhập nhiều ngành, cách nhau bằng dấu chấm phẩy. Cột Cảnh báo tự báo quá hạn việc tiếp theo hoặc hơn 30 ngày chưa liên hệ.</t>
  </si>
  <si>
    <t xml:space="preserve">Tên partner</t>
  </si>
  <si>
    <t xml:space="preserve">Loại</t>
  </si>
  <si>
    <t xml:space="preserve">Ngành</t>
  </si>
  <si>
    <t xml:space="preserve">Giải pháp liên quan</t>
  </si>
  <si>
    <t xml:space="preserve">Đầu mối bên partner</t>
  </si>
  <si>
    <t xml:space="preserve">Đầu mối VNETWORK</t>
  </si>
  <si>
    <t xml:space="preserve">Bước hiện tại</t>
  </si>
  <si>
    <t xml:space="preserve">Hạng</t>
  </si>
  <si>
    <t xml:space="preserve">Điểm phù hợp (1–5)</t>
  </si>
  <si>
    <t xml:space="preserve">Ngày liên hệ gần nhất</t>
  </si>
  <si>
    <t xml:space="preserve">Việc tiếp theo</t>
  </si>
  <si>
    <t xml:space="preserve">Hạn việc tiếp theo</t>
  </si>
  <si>
    <t xml:space="preserve">SearchInform</t>
  </si>
  <si>
    <t xml:space="preserve">A. Technology</t>
  </si>
  <si>
    <t xml:space="preserve">BFSI; Y tế; Sản xuất; Chính phủ; Bán lẻ</t>
  </si>
  <si>
    <t xml:space="preserve">SearchInform DLP (Data Loss Prevention)</t>
  </si>
  <si>
    <t xml:space="preserve">Xác minh quyền phân phối, module và phạm vi triển khai</t>
  </si>
  <si>
    <t xml:space="preserve">Trạng thái thương mại: Cần xác minh. Chưa chứng minh đã ký hợp đồng phân phối (theo sheet Tong quan của file danh mục). Nguồn: Solution Master / trang sản phẩm SearchInform. Chuyên gia trên trang Foundry: Hoàng Tuấn Anh (Country Director).</t>
  </si>
  <si>
    <t xml:space="preserve">DatumBridge</t>
  </si>
  <si>
    <t xml:space="preserve">BFSI; Chính phủ; Bán lẻ (và Enterprise, Services, Finance)</t>
  </si>
  <si>
    <t xml:space="preserve">AI Legal &amp; Compliance; AI SuperSales &amp; Assistant; Debt Collection AI Agent</t>
  </si>
  <si>
    <t xml:space="preserve">Xác minh nguồn dữ liệu, giới hạn, tích hợp và quyền công bố; riêng Debt Collection: tuân thủ pháp lý và giới hạn tự động hóa</t>
  </si>
  <si>
    <t xml:space="preserve">Trạng thái thương mại: Cần xác minh. Chưa chứng minh đã ký hợp đồng phân phối (theo sheet Tong quan của file danh mục). Nguồn: Solution Master / thông tin DatumBridge đã trao đổi. 3 giải pháp. Chuyên gia trên trang Foundry: Nguyễn Đức Anh (Founder và CEO).</t>
  </si>
  <si>
    <t xml:space="preserve">Lumination</t>
  </si>
  <si>
    <t xml:space="preserve">Giáo dục; Y tế</t>
  </si>
  <si>
    <t xml:space="preserve">AI Admissions CRM; AI Healthcare &amp; Insurance Assistant</t>
  </si>
  <si>
    <t xml:space="preserve">Xác minh phạm vi CRM và AI, tích hợp, bảo mật dữ liệu y tế và phạm vi sử dụng</t>
  </si>
  <si>
    <t xml:space="preserve">Trạng thái thương mại: Cần xác minh. Chưa chứng minh đã ký hợp đồng phân phối (theo sheet Tong quan của file danh mục). Nguồn: Solution Master / thông tin Lumination đã trao đổi. 2 giải pháp.</t>
  </si>
  <si>
    <t xml:space="preserve">Sổ quan hệ đối tác toàn công ty</t>
  </si>
  <si>
    <t xml:space="preserve">Ai đang hợp tác với VNETWORK, đã ký gì, ai phụ trách, còn hiệu lực không. Ba dòng đầu (SearchInform, DatumBridge, Lumination) lấy từ file danh mục solution; bốn dòng hạ tầng lấy từ tên được nêu trên trang V-Tech Foundry. Loại thỏa thuận và quyền dùng tên đều ghi "Chưa rõ" cho đến khi xác nhận bằng văn bản. Cột Tình trạng tự tính từ ngày hết hạn (sắp hết hạn = còn dưới 60 ngày).</t>
  </si>
  <si>
    <t xml:space="preserve">Tên đối tác</t>
  </si>
  <si>
    <t xml:space="preserve">Nhóm</t>
  </si>
  <si>
    <t xml:space="preserve">Loại thỏa thuận</t>
  </si>
  <si>
    <t xml:space="preserve">Ngày ký</t>
  </si>
  <si>
    <t xml:space="preserve">Ngày hết hạn</t>
  </si>
  <si>
    <t xml:space="preserve">Người phụ trách VNETWORK</t>
  </si>
  <si>
    <t xml:space="preserve">Phòng giữ hợp đồng</t>
  </si>
  <si>
    <t xml:space="preserve">Cho phép dùng tên hoặc logo?</t>
  </si>
  <si>
    <t xml:space="preserve">Tình trạng</t>
  </si>
  <si>
    <t xml:space="preserve">Nguồn và ghi chú</t>
  </si>
  <si>
    <t xml:space="preserve">Hãng công nghệ</t>
  </si>
  <si>
    <t xml:space="preserve">Có trong file danh mục solution, trạng thái thương mại cần xác minh; chưa chứng minh đã ký hợp đồng phân phối (1 giải pháp: DLP)</t>
  </si>
  <si>
    <t xml:space="preserve">Có trong file danh mục solution, trạng thái thương mại cần xác minh; chưa chứng minh đã ký hợp đồng phân phối (3 giải pháp AI)</t>
  </si>
  <si>
    <t xml:space="preserve">Có trong file danh mục solution, trạng thái thương mại cần xác minh; chưa chứng minh đã ký hợp đồng phân phối (2 giải pháp AI)</t>
  </si>
  <si>
    <t xml:space="preserve">Viettel IDC</t>
  </si>
  <si>
    <t xml:space="preserve">Hạ tầng và mạng</t>
  </si>
  <si>
    <t xml:space="preserve">Được nêu trên trang Foundry, cần xác nhận hợp đồng và quyền dùng tên</t>
  </si>
  <si>
    <t xml:space="preserve">VNPT</t>
  </si>
  <si>
    <t xml:space="preserve">FPT</t>
  </si>
  <si>
    <t xml:space="preserve">Mobifone</t>
  </si>
  <si>
    <t xml:space="preserve">Nhịp làm việc định kỳ</t>
  </si>
  <si>
    <t xml:space="preserve">Ghi ngày làm lần gần nhất ở cột D; cột E tự tính ngày đến hạn tiếp theo và cột F báo quá hạn.</t>
  </si>
  <si>
    <t xml:space="preserve">Việc định kỳ</t>
  </si>
  <si>
    <t xml:space="preserve">Tần suất</t>
  </si>
  <si>
    <t xml:space="preserve">Chu kỳ (ngày)</t>
  </si>
  <si>
    <t xml:space="preserve">Lần gần nhất</t>
  </si>
  <si>
    <t xml:space="preserve">Lần tiếp theo</t>
  </si>
  <si>
    <t xml:space="preserve">Xem pipeline partner</t>
  </si>
  <si>
    <t xml:space="preserve">Hằng tuần</t>
  </si>
  <si>
    <t xml:space="preserve">Tiếp cận partner mới</t>
  </si>
  <si>
    <t xml:space="preserve">Họp rà soát từng partner đang ở Explorer và Certified</t>
  </si>
  <si>
    <t xml:space="preserve">Hằng tháng</t>
  </si>
  <si>
    <t xml:space="preserve">Báo cáo cho lãnh đạo</t>
  </si>
  <si>
    <t xml:space="preserve">Hằng quý</t>
  </si>
  <si>
    <t xml:space="preserve">Xét hạng partner</t>
  </si>
  <si>
    <t xml:space="preserve">Sửa Playbook theo thực tế</t>
  </si>
</sst>
</file>

<file path=xl/styles.xml><?xml version="1.0" encoding="utf-8"?>
<styleSheet xmlns="http://schemas.openxmlformats.org/spreadsheetml/2006/main">
  <numFmts count="4">
    <numFmt numFmtId="164" formatCode="General"/>
    <numFmt numFmtId="165" formatCode="dd/mm/yyyy"/>
    <numFmt numFmtId="166" formatCode="General"/>
    <numFmt numFmtId="167" formatCode="0%"/>
  </numFmts>
  <fonts count="9">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i val="true"/>
      <sz val="9"/>
      <color rgb="FF595959"/>
      <name val="Arial"/>
      <family val="0"/>
      <charset val="1"/>
    </font>
    <font>
      <b val="true"/>
      <sz val="10"/>
      <color rgb="FFFFFFFF"/>
      <name val="Arial"/>
      <family val="0"/>
      <charset val="1"/>
    </font>
  </fonts>
  <fills count="6">
    <fill>
      <patternFill patternType="none"/>
    </fill>
    <fill>
      <patternFill patternType="gray125"/>
    </fill>
    <fill>
      <patternFill patternType="solid">
        <fgColor rgb="FFFFF2CC"/>
        <bgColor rgb="FFEDEDED"/>
      </patternFill>
    </fill>
    <fill>
      <patternFill patternType="solid">
        <fgColor rgb="FFD9E1F2"/>
        <bgColor rgb="FFEDEDED"/>
      </patternFill>
    </fill>
    <fill>
      <patternFill patternType="solid">
        <fgColor rgb="FF1F3864"/>
        <bgColor rgb="FF333333"/>
      </patternFill>
    </fill>
    <fill>
      <patternFill patternType="solid">
        <fgColor rgb="FFEDEDED"/>
        <bgColor rgb="FFD9E1F2"/>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2" borderId="1"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center" vertical="bottom"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6" fontId="6" fillId="0" borderId="1" xfId="0" applyFont="true" applyBorder="true" applyAlignment="true" applyProtection="false">
      <alignment horizontal="center" vertical="top" textRotation="0" wrapText="true" indent="0" shrinkToFit="false"/>
      <protection locked="true" hidden="false"/>
    </xf>
    <xf numFmtId="167" fontId="6" fillId="0" borderId="1" xfId="0" applyFont="true" applyBorder="true" applyAlignment="true" applyProtection="false">
      <alignment horizontal="center"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6" fontId="5" fillId="0" borderId="1" xfId="0" applyFont="true" applyBorder="true" applyAlignment="true" applyProtection="false">
      <alignment horizontal="center" vertical="top" textRotation="0" wrapText="true" indent="0" shrinkToFit="false"/>
      <protection locked="true" hidden="false"/>
    </xf>
    <xf numFmtId="167" fontId="5" fillId="0" borderId="1" xfId="0" applyFont="true" applyBorder="true" applyAlignment="true" applyProtection="false">
      <alignment horizontal="center"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5" fontId="6" fillId="5" borderId="1" xfId="0" applyFont="true" applyBorder="true" applyAlignment="true" applyProtection="false">
      <alignment horizontal="center" vertical="top" textRotation="0" wrapText="true" indent="0" shrinkToFit="false"/>
      <protection locked="true" hidden="false"/>
    </xf>
    <xf numFmtId="165" fontId="6" fillId="2" borderId="1" xfId="0" applyFont="true" applyBorder="true" applyAlignment="true" applyProtection="false">
      <alignment horizontal="center" vertical="top" textRotation="0" wrapText="true" indent="0" shrinkToFit="false"/>
      <protection locked="true" hidden="false"/>
    </xf>
    <xf numFmtId="164" fontId="6" fillId="5" borderId="1" xfId="0" applyFont="true" applyBorder="true" applyAlignment="true" applyProtection="false">
      <alignment horizontal="center" vertical="top" textRotation="0" wrapText="tru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6" fillId="5"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ont>
        <name val="Arial"/>
        <charset val="1"/>
        <family val="0"/>
        <b val="1"/>
        <color rgb="FFC00000"/>
        <sz val="10"/>
      </font>
    </dxf>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FFF2CC"/>
          <bgColor rgb="FF000000"/>
        </patternFill>
      </fill>
    </dxf>
    <dxf>
      <fill>
        <patternFill patternType="solid">
          <fgColor rgb="FFEDEDED"/>
          <bgColor rgb="FF000000"/>
        </patternFill>
      </fill>
    </dxf>
    <dxf>
      <fill>
        <patternFill>
          <bgColor rgb="FFC6EFCE"/>
        </patternFill>
      </fill>
    </dxf>
    <dxf>
      <fill>
        <patternFill>
          <bgColor rgb="FFFFEB9C"/>
        </patternFill>
      </fill>
    </dxf>
    <dxf>
      <fill>
        <patternFill>
          <bgColor rgb="FFFFC7CE"/>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DEDED"/>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 min="2" style="0" width="14"/>
    <col collapsed="false" customWidth="true" hidden="false" outlineLevel="0" max="3" min="3" style="0" width="4"/>
    <col collapsed="false" customWidth="true" hidden="false" outlineLevel="0" max="4" min="4" style="0" width="34"/>
    <col collapsed="false" customWidth="true" hidden="false" outlineLevel="0" max="6" min="5" style="0" width="12"/>
    <col collapsed="false" customWidth="true" hidden="false" outlineLevel="0" max="7" min="7" style="0" width="10"/>
  </cols>
  <sheetData>
    <row r="1" customFormat="false" ht="17.35" hidden="false" customHeight="false" outlineLevel="0" collapsed="false">
      <c r="A1" s="1" t="s">
        <v>0</v>
      </c>
    </row>
    <row r="3" customFormat="false" ht="15" hidden="false" customHeight="false" outlineLevel="0" collapsed="false">
      <c r="A3" s="2" t="s">
        <v>1</v>
      </c>
      <c r="B3" s="3"/>
      <c r="C3" s="4" t="s">
        <v>2</v>
      </c>
    </row>
    <row r="5" customFormat="false" ht="15" hidden="false" customHeight="false" outlineLevel="0" collapsed="false">
      <c r="A5" s="5" t="s">
        <v>3</v>
      </c>
      <c r="B5" s="5" t="s">
        <v>4</v>
      </c>
      <c r="D5" s="5" t="s">
        <v>5</v>
      </c>
      <c r="E5" s="5" t="s">
        <v>6</v>
      </c>
      <c r="F5" s="5" t="s">
        <v>7</v>
      </c>
      <c r="G5" s="5" t="s">
        <v>8</v>
      </c>
    </row>
    <row r="6" customFormat="false" ht="15" hidden="false" customHeight="false" outlineLevel="0" collapsed="false">
      <c r="A6" s="6" t="s">
        <v>9</v>
      </c>
      <c r="B6" s="7" t="n">
        <f aca="false">COUNTIF('V-Tech Hub'!$I$5:$I$24,A6)</f>
        <v>20</v>
      </c>
      <c r="D6" s="6" t="s">
        <v>10</v>
      </c>
      <c r="E6" s="7" t="n">
        <f aca="false">COUNTIF('V-Tech Hub'!$B$5:$B$24,D6)</f>
        <v>4</v>
      </c>
      <c r="F6" s="7" t="n">
        <f aca="false">COUNTIFS('V-Tech Hub'!$B$5:$B$24,D6,'V-Tech Hub'!$I$5:$I$24,"Hoàn thành")</f>
        <v>0</v>
      </c>
      <c r="G6" s="8" t="n">
        <f aca="false">IFERROR(F6/E6,0)</f>
        <v>0</v>
      </c>
    </row>
    <row r="7" customFormat="false" ht="15" hidden="false" customHeight="false" outlineLevel="0" collapsed="false">
      <c r="A7" s="6" t="s">
        <v>11</v>
      </c>
      <c r="B7" s="7" t="n">
        <f aca="false">COUNTIF('V-Tech Hub'!$I$5:$I$24,A7)</f>
        <v>0</v>
      </c>
      <c r="D7" s="6" t="s">
        <v>12</v>
      </c>
      <c r="E7" s="7" t="n">
        <f aca="false">COUNTIF('V-Tech Hub'!$B$5:$B$24,D7)</f>
        <v>4</v>
      </c>
      <c r="F7" s="7" t="n">
        <f aca="false">COUNTIFS('V-Tech Hub'!$B$5:$B$24,D7,'V-Tech Hub'!$I$5:$I$24,"Hoàn thành")</f>
        <v>0</v>
      </c>
      <c r="G7" s="8" t="n">
        <f aca="false">IFERROR(F7/E7,0)</f>
        <v>0</v>
      </c>
    </row>
    <row r="8" customFormat="false" ht="15" hidden="false" customHeight="false" outlineLevel="0" collapsed="false">
      <c r="A8" s="6" t="s">
        <v>7</v>
      </c>
      <c r="B8" s="7" t="n">
        <f aca="false">COUNTIF('V-Tech Hub'!$I$5:$I$24,A8)</f>
        <v>0</v>
      </c>
      <c r="D8" s="6" t="s">
        <v>13</v>
      </c>
      <c r="E8" s="7" t="n">
        <f aca="false">COUNTIF('V-Tech Hub'!$B$5:$B$24,D8)</f>
        <v>5</v>
      </c>
      <c r="F8" s="7" t="n">
        <f aca="false">COUNTIFS('V-Tech Hub'!$B$5:$B$24,D8,'V-Tech Hub'!$I$5:$I$24,"Hoàn thành")</f>
        <v>0</v>
      </c>
      <c r="G8" s="8" t="n">
        <f aca="false">IFERROR(F8/E8,0)</f>
        <v>0</v>
      </c>
    </row>
    <row r="9" customFormat="false" ht="15" hidden="false" customHeight="false" outlineLevel="0" collapsed="false">
      <c r="A9" s="6" t="s">
        <v>14</v>
      </c>
      <c r="B9" s="7" t="n">
        <f aca="false">COUNTIF('V-Tech Hub'!$I$5:$I$24,A9)</f>
        <v>0</v>
      </c>
      <c r="D9" s="6" t="s">
        <v>15</v>
      </c>
      <c r="E9" s="7" t="n">
        <f aca="false">COUNTIF('V-Tech Hub'!$B$5:$B$24,D9)</f>
        <v>4</v>
      </c>
      <c r="F9" s="7" t="n">
        <f aca="false">COUNTIFS('V-Tech Hub'!$B$5:$B$24,D9,'V-Tech Hub'!$I$5:$I$24,"Hoàn thành")</f>
        <v>0</v>
      </c>
      <c r="G9" s="8" t="n">
        <f aca="false">IFERROR(F9/E9,0)</f>
        <v>0</v>
      </c>
    </row>
    <row r="10" customFormat="false" ht="15" hidden="false" customHeight="false" outlineLevel="0" collapsed="false">
      <c r="A10" s="9" t="s">
        <v>16</v>
      </c>
      <c r="B10" s="10" t="n">
        <f aca="false">COUNTA('V-Tech Hub'!$C$5:$C$24)</f>
        <v>20</v>
      </c>
      <c r="D10" s="6" t="s">
        <v>17</v>
      </c>
      <c r="E10" s="7" t="n">
        <f aca="false">COUNTIF('V-Tech Hub'!$B$5:$B$24,D10)</f>
        <v>3</v>
      </c>
      <c r="F10" s="7" t="n">
        <f aca="false">COUNTIFS('V-Tech Hub'!$B$5:$B$24,D10,'V-Tech Hub'!$I$5:$I$24,"Hoàn thành")</f>
        <v>0</v>
      </c>
      <c r="G10" s="8" t="n">
        <f aca="false">IFERROR(F10/E10,0)</f>
        <v>0</v>
      </c>
    </row>
    <row r="11" customFormat="false" ht="15" hidden="false" customHeight="false" outlineLevel="0" collapsed="false">
      <c r="A11" s="9" t="s">
        <v>18</v>
      </c>
      <c r="B11" s="11" t="n">
        <f aca="false">IFERROR(B8/B10,0)</f>
        <v>0</v>
      </c>
    </row>
    <row r="12" customFormat="false" ht="15" hidden="false" customHeight="false" outlineLevel="0" collapsed="false">
      <c r="A12" s="9" t="s">
        <v>19</v>
      </c>
      <c r="B12" s="10" t="n">
        <f aca="false">COUNTIF('V-Tech Hub'!$K$5:$K$24,"Quá hạn")</f>
        <v>0</v>
      </c>
    </row>
    <row r="15" customFormat="false" ht="15" hidden="false" customHeight="false" outlineLevel="0" collapsed="false">
      <c r="A15" s="5" t="s">
        <v>20</v>
      </c>
      <c r="B15" s="5" t="s">
        <v>21</v>
      </c>
      <c r="D15" s="5" t="s">
        <v>22</v>
      </c>
      <c r="E15" s="5" t="s">
        <v>21</v>
      </c>
    </row>
    <row r="16" customFormat="false" ht="15" hidden="false" customHeight="false" outlineLevel="0" collapsed="false">
      <c r="A16" s="6" t="s">
        <v>23</v>
      </c>
      <c r="B16" s="7" t="n">
        <f aca="false">COUNTIF('Theo dõi partner'!$H$5:$H$104,A16)</f>
        <v>0</v>
      </c>
      <c r="D16" s="6" t="s">
        <v>24</v>
      </c>
      <c r="E16" s="7" t="n">
        <f aca="false">COUNTIF('Theo dõi partner'!$I$5:$I$104,D16)</f>
        <v>0</v>
      </c>
    </row>
    <row r="17" customFormat="false" ht="15" hidden="false" customHeight="false" outlineLevel="0" collapsed="false">
      <c r="A17" s="6" t="s">
        <v>25</v>
      </c>
      <c r="B17" s="7" t="n">
        <f aca="false">COUNTIF('Theo dõi partner'!$H$5:$H$104,A17)</f>
        <v>0</v>
      </c>
      <c r="D17" s="6" t="s">
        <v>26</v>
      </c>
      <c r="E17" s="7" t="n">
        <f aca="false">COUNTIF('Theo dõi partner'!$I$5:$I$104,D17)</f>
        <v>0</v>
      </c>
    </row>
    <row r="18" customFormat="false" ht="15" hidden="false" customHeight="false" outlineLevel="0" collapsed="false">
      <c r="A18" s="6" t="s">
        <v>27</v>
      </c>
      <c r="B18" s="7" t="n">
        <f aca="false">COUNTIF('Theo dõi partner'!$H$5:$H$104,A18)</f>
        <v>3</v>
      </c>
      <c r="D18" s="6" t="s">
        <v>28</v>
      </c>
      <c r="E18" s="7" t="n">
        <f aca="false">COUNTIF('Theo dõi partner'!$I$5:$I$104,D18)</f>
        <v>0</v>
      </c>
    </row>
    <row r="19" customFormat="false" ht="15" hidden="false" customHeight="false" outlineLevel="0" collapsed="false">
      <c r="A19" s="6" t="s">
        <v>29</v>
      </c>
      <c r="B19" s="7" t="n">
        <f aca="false">COUNTIF('Theo dõi partner'!$H$5:$H$104,A19)</f>
        <v>0</v>
      </c>
      <c r="D19" s="9" t="s">
        <v>30</v>
      </c>
      <c r="E19" s="10" t="n">
        <f aca="false">COUNTIF('Theo dõi partner'!$N$5:$N$104,"?*")</f>
        <v>0</v>
      </c>
    </row>
    <row r="20" customFormat="false" ht="15" hidden="false" customHeight="false" outlineLevel="0" collapsed="false">
      <c r="A20" s="6" t="s">
        <v>31</v>
      </c>
      <c r="B20" s="7" t="n">
        <f aca="false">COUNTIF('Theo dõi partner'!$H$5:$H$104,A20)</f>
        <v>0</v>
      </c>
    </row>
    <row r="21" customFormat="false" ht="15" hidden="false" customHeight="false" outlineLevel="0" collapsed="false">
      <c r="A21" s="6" t="s">
        <v>32</v>
      </c>
      <c r="B21" s="7" t="n">
        <f aca="false">COUNTIF('Theo dõi partner'!$H$5:$H$104,A21)</f>
        <v>0</v>
      </c>
      <c r="D21" s="5" t="s">
        <v>33</v>
      </c>
      <c r="E21" s="5" t="s">
        <v>34</v>
      </c>
    </row>
    <row r="22" customFormat="false" ht="15" hidden="false" customHeight="false" outlineLevel="0" collapsed="false">
      <c r="A22" s="6" t="s">
        <v>35</v>
      </c>
      <c r="B22" s="7" t="n">
        <f aca="false">COUNTIF('Theo dõi partner'!$H$5:$H$104,A22)</f>
        <v>0</v>
      </c>
      <c r="D22" s="6" t="s">
        <v>36</v>
      </c>
      <c r="E22" s="7" t="n">
        <f aca="false">COUNTIF('Nhịp làm việc'!$F$5:$F$10,"Quá hạn")</f>
        <v>0</v>
      </c>
    </row>
    <row r="23" customFormat="false" ht="23.85" hidden="false" customHeight="false" outlineLevel="0" collapsed="false">
      <c r="A23" s="6" t="s">
        <v>37</v>
      </c>
      <c r="B23" s="7" t="n">
        <f aca="false">COUNTIF('Theo dõi partner'!$H$5:$H$104,A23)</f>
        <v>0</v>
      </c>
      <c r="D23" s="6" t="s">
        <v>38</v>
      </c>
      <c r="E23" s="7" t="n">
        <f aca="false">COUNTIF('Sổ đối tác toàn công ty'!$I$5:$I$34,"Sắp hết hạn")+COUNTIF('Sổ đối tác toàn công ty'!$I$5:$I$34,"Hết hạn")</f>
        <v>0</v>
      </c>
    </row>
    <row r="24" customFormat="false" ht="15" hidden="false" customHeight="false" outlineLevel="0" collapsed="false">
      <c r="A24" s="9" t="s">
        <v>39</v>
      </c>
      <c r="B24" s="10" t="n">
        <f aca="false">COUNTA('Theo dõi partner'!$B$5:$B$104)</f>
        <v>3</v>
      </c>
      <c r="D24" s="6" t="s">
        <v>40</v>
      </c>
      <c r="E24" s="7" t="n">
        <f aca="false">COUNTIF('Mảng ngoài Hub'!$E$5:$E$9,"Chưa rõ")</f>
        <v>5</v>
      </c>
    </row>
    <row r="27" customFormat="false" ht="15" hidden="false" customHeight="false" outlineLevel="0" collapsed="false">
      <c r="A27" s="2" t="s">
        <v>41</v>
      </c>
    </row>
    <row r="28" customFormat="false" ht="15" hidden="false" customHeight="false" outlineLevel="0" collapsed="false">
      <c r="A28" s="12" t="s">
        <v>42</v>
      </c>
    </row>
    <row r="29" customFormat="false" ht="15" hidden="false" customHeight="false" outlineLevel="0" collapsed="false">
      <c r="A29" s="12" t="s">
        <v>43</v>
      </c>
    </row>
    <row r="30" customFormat="false" ht="15" hidden="false" customHeight="false" outlineLevel="0" collapsed="false">
      <c r="A30" s="12" t="s">
        <v>44</v>
      </c>
    </row>
    <row r="31" customFormat="false" ht="15" hidden="false" customHeight="false" outlineLevel="0" collapsed="false">
      <c r="A31" s="12" t="s">
        <v>45</v>
      </c>
    </row>
    <row r="32" customFormat="false" ht="15" hidden="false" customHeight="false" outlineLevel="0" collapsed="false">
      <c r="A32" s="12" t="s">
        <v>46</v>
      </c>
    </row>
    <row r="33" customFormat="false" ht="15" hidden="false" customHeight="false" outlineLevel="0" collapsed="false">
      <c r="A33" s="12" t="s">
        <v>47</v>
      </c>
    </row>
  </sheetData>
  <conditionalFormatting sqref="B12">
    <cfRule type="cellIs" priority="2" operator="greaterThan" aboveAverage="0" equalAverage="0" bottom="0" percent="0" rank="0" text="" dxfId="0">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3" min="3" style="0" width="52"/>
    <col collapsed="false" customWidth="true" hidden="false" outlineLevel="0" max="4" min="4" style="0" width="30"/>
    <col collapsed="false" customWidth="true" hidden="false" outlineLevel="0" max="5" min="5" style="0" width="22"/>
    <col collapsed="false" customWidth="true" hidden="false" outlineLevel="0" max="6" min="6" style="0" width="12"/>
    <col collapsed="false" customWidth="true" hidden="false" outlineLevel="0" max="7" min="7" style="0" width="16"/>
    <col collapsed="false" customWidth="true" hidden="false" outlineLevel="0" max="8" min="8" style="0" width="13"/>
    <col collapsed="false" customWidth="true" hidden="false" outlineLevel="0" max="9" min="9" style="0" width="15"/>
    <col collapsed="false" customWidth="true" hidden="false" outlineLevel="0" max="10" min="10" style="0" width="14"/>
    <col collapsed="false" customWidth="true" hidden="false" outlineLevel="0" max="11" min="11" style="0" width="12"/>
    <col collapsed="false" customWidth="true" hidden="false" outlineLevel="0" max="12" min="12" style="0" width="30"/>
  </cols>
  <sheetData>
    <row r="1" customFormat="false" ht="17.35" hidden="false" customHeight="false" outlineLevel="0" collapsed="false">
      <c r="A1" s="1" t="s">
        <v>48</v>
      </c>
    </row>
    <row r="2" customFormat="false" ht="42" hidden="false" customHeight="true" outlineLevel="0" collapsed="false">
      <c r="A2" s="13" t="s">
        <v>49</v>
      </c>
      <c r="B2" s="13"/>
      <c r="C2" s="13"/>
      <c r="D2" s="13"/>
      <c r="E2" s="13"/>
      <c r="F2" s="13"/>
      <c r="G2" s="13"/>
      <c r="H2" s="13"/>
      <c r="I2" s="13"/>
      <c r="J2" s="13"/>
      <c r="K2" s="13"/>
      <c r="L2" s="13"/>
    </row>
    <row r="4" customFormat="false" ht="31.5" hidden="false" customHeight="true" outlineLevel="0" collapsed="false">
      <c r="A4" s="14" t="s">
        <v>50</v>
      </c>
      <c r="B4" s="14" t="s">
        <v>5</v>
      </c>
      <c r="C4" s="14" t="s">
        <v>51</v>
      </c>
      <c r="D4" s="14" t="s">
        <v>52</v>
      </c>
      <c r="E4" s="14" t="s">
        <v>53</v>
      </c>
      <c r="F4" s="14" t="s">
        <v>54</v>
      </c>
      <c r="G4" s="14" t="s">
        <v>55</v>
      </c>
      <c r="H4" s="14" t="s">
        <v>56</v>
      </c>
      <c r="I4" s="14" t="s">
        <v>57</v>
      </c>
      <c r="J4" s="14" t="s">
        <v>58</v>
      </c>
      <c r="K4" s="14" t="s">
        <v>59</v>
      </c>
      <c r="L4" s="14" t="s">
        <v>60</v>
      </c>
    </row>
    <row r="5" customFormat="false" ht="23.85" hidden="false" customHeight="false" outlineLevel="0" collapsed="false">
      <c r="A5" s="7" t="n">
        <v>1</v>
      </c>
      <c r="B5" s="6" t="s">
        <v>10</v>
      </c>
      <c r="C5" s="6" t="s">
        <v>61</v>
      </c>
      <c r="D5" s="6" t="s">
        <v>62</v>
      </c>
      <c r="E5" s="6" t="s">
        <v>63</v>
      </c>
      <c r="F5" s="15" t="s">
        <v>64</v>
      </c>
      <c r="G5" s="15" t="n">
        <v>14</v>
      </c>
      <c r="H5" s="16" t="str">
        <f aca="false">IF(OR('Tổng quan'!$B$3="",G5=""),"",'Tổng quan'!$B$3+G5)</f>
        <v/>
      </c>
      <c r="I5" s="15" t="s">
        <v>9</v>
      </c>
      <c r="J5" s="17"/>
      <c r="K5" s="18" t="str">
        <f aca="true">IF(OR(H5="",I5="Hoàn thành"),"",IF(H5&lt;TODAY(),"Quá hạn",""))</f>
        <v/>
      </c>
      <c r="L5" s="19"/>
    </row>
    <row r="6" customFormat="false" ht="15" hidden="false" customHeight="false" outlineLevel="0" collapsed="false">
      <c r="A6" s="7" t="n">
        <v>2</v>
      </c>
      <c r="B6" s="6" t="s">
        <v>10</v>
      </c>
      <c r="C6" s="6" t="s">
        <v>65</v>
      </c>
      <c r="D6" s="6" t="s">
        <v>66</v>
      </c>
      <c r="E6" s="6" t="s">
        <v>67</v>
      </c>
      <c r="F6" s="15" t="s">
        <v>64</v>
      </c>
      <c r="G6" s="15" t="n">
        <v>30</v>
      </c>
      <c r="H6" s="16" t="str">
        <f aca="false">IF(OR('Tổng quan'!$B$3="",G6=""),"",'Tổng quan'!$B$3+G6)</f>
        <v/>
      </c>
      <c r="I6" s="15" t="s">
        <v>9</v>
      </c>
      <c r="J6" s="17"/>
      <c r="K6" s="18" t="str">
        <f aca="true">IF(OR(H6="",I6="Hoàn thành"),"",IF(H6&lt;TODAY(),"Quá hạn",""))</f>
        <v/>
      </c>
      <c r="L6" s="19"/>
    </row>
    <row r="7" customFormat="false" ht="23.85" hidden="false" customHeight="false" outlineLevel="0" collapsed="false">
      <c r="A7" s="7" t="n">
        <v>3</v>
      </c>
      <c r="B7" s="6" t="s">
        <v>10</v>
      </c>
      <c r="C7" s="6" t="s">
        <v>68</v>
      </c>
      <c r="D7" s="6" t="s">
        <v>69</v>
      </c>
      <c r="E7" s="6" t="s">
        <v>70</v>
      </c>
      <c r="F7" s="15" t="s">
        <v>64</v>
      </c>
      <c r="G7" s="15" t="n">
        <v>60</v>
      </c>
      <c r="H7" s="16" t="str">
        <f aca="false">IF(OR('Tổng quan'!$B$3="",G7=""),"",'Tổng quan'!$B$3+G7)</f>
        <v/>
      </c>
      <c r="I7" s="15" t="s">
        <v>9</v>
      </c>
      <c r="J7" s="17"/>
      <c r="K7" s="18" t="str">
        <f aca="true">IF(OR(H7="",I7="Hoàn thành"),"",IF(H7&lt;TODAY(),"Quá hạn",""))</f>
        <v/>
      </c>
      <c r="L7" s="19"/>
    </row>
    <row r="8" customFormat="false" ht="15" hidden="false" customHeight="false" outlineLevel="0" collapsed="false">
      <c r="A8" s="7" t="n">
        <v>4</v>
      </c>
      <c r="B8" s="6" t="s">
        <v>10</v>
      </c>
      <c r="C8" s="6" t="s">
        <v>71</v>
      </c>
      <c r="D8" s="6" t="s">
        <v>72</v>
      </c>
      <c r="E8" s="6" t="s">
        <v>73</v>
      </c>
      <c r="F8" s="15" t="s">
        <v>64</v>
      </c>
      <c r="G8" s="15" t="n">
        <v>90</v>
      </c>
      <c r="H8" s="16" t="str">
        <f aca="false">IF(OR('Tổng quan'!$B$3="",G8=""),"",'Tổng quan'!$B$3+G8)</f>
        <v/>
      </c>
      <c r="I8" s="15" t="s">
        <v>9</v>
      </c>
      <c r="J8" s="17"/>
      <c r="K8" s="18" t="str">
        <f aca="true">IF(OR(H8="",I8="Hoàn thành"),"",IF(H8&lt;TODAY(),"Quá hạn",""))</f>
        <v/>
      </c>
      <c r="L8" s="19"/>
    </row>
    <row r="9" customFormat="false" ht="23.85" hidden="false" customHeight="false" outlineLevel="0" collapsed="false">
      <c r="A9" s="7" t="n">
        <v>5</v>
      </c>
      <c r="B9" s="6" t="s">
        <v>12</v>
      </c>
      <c r="C9" s="6" t="s">
        <v>74</v>
      </c>
      <c r="D9" s="6" t="s">
        <v>75</v>
      </c>
      <c r="E9" s="6" t="s">
        <v>76</v>
      </c>
      <c r="F9" s="15" t="s">
        <v>64</v>
      </c>
      <c r="G9" s="15" t="n">
        <v>14</v>
      </c>
      <c r="H9" s="16" t="str">
        <f aca="false">IF(OR('Tổng quan'!$B$3="",G9=""),"",'Tổng quan'!$B$3+G9)</f>
        <v/>
      </c>
      <c r="I9" s="15" t="s">
        <v>9</v>
      </c>
      <c r="J9" s="17"/>
      <c r="K9" s="18" t="str">
        <f aca="true">IF(OR(H9="",I9="Hoàn thành"),"",IF(H9&lt;TODAY(),"Quá hạn",""))</f>
        <v/>
      </c>
      <c r="L9" s="19"/>
    </row>
    <row r="10" customFormat="false" ht="23.85" hidden="false" customHeight="false" outlineLevel="0" collapsed="false">
      <c r="A10" s="7" t="n">
        <v>6</v>
      </c>
      <c r="B10" s="6" t="s">
        <v>12</v>
      </c>
      <c r="C10" s="6" t="s">
        <v>77</v>
      </c>
      <c r="D10" s="6" t="s">
        <v>78</v>
      </c>
      <c r="E10" s="6" t="s">
        <v>79</v>
      </c>
      <c r="F10" s="15" t="s">
        <v>64</v>
      </c>
      <c r="G10" s="15" t="n">
        <v>90</v>
      </c>
      <c r="H10" s="16" t="str">
        <f aca="false">IF(OR('Tổng quan'!$B$3="",G10=""),"",'Tổng quan'!$B$3+G10)</f>
        <v/>
      </c>
      <c r="I10" s="15" t="s">
        <v>9</v>
      </c>
      <c r="J10" s="17"/>
      <c r="K10" s="18" t="str">
        <f aca="true">IF(OR(H10="",I10="Hoàn thành"),"",IF(H10&lt;TODAY(),"Quá hạn",""))</f>
        <v/>
      </c>
      <c r="L10" s="19"/>
    </row>
    <row r="11" customFormat="false" ht="23.85" hidden="false" customHeight="false" outlineLevel="0" collapsed="false">
      <c r="A11" s="7" t="n">
        <v>7</v>
      </c>
      <c r="B11" s="6" t="s">
        <v>12</v>
      </c>
      <c r="C11" s="6" t="s">
        <v>80</v>
      </c>
      <c r="D11" s="6" t="s">
        <v>81</v>
      </c>
      <c r="E11" s="6" t="s">
        <v>82</v>
      </c>
      <c r="F11" s="15" t="s">
        <v>64</v>
      </c>
      <c r="G11" s="15" t="n">
        <v>90</v>
      </c>
      <c r="H11" s="16" t="str">
        <f aca="false">IF(OR('Tổng quan'!$B$3="",G11=""),"",'Tổng quan'!$B$3+G11)</f>
        <v/>
      </c>
      <c r="I11" s="15" t="s">
        <v>9</v>
      </c>
      <c r="J11" s="17"/>
      <c r="K11" s="18" t="str">
        <f aca="true">IF(OR(H11="",I11="Hoàn thành"),"",IF(H11&lt;TODAY(),"Quá hạn",""))</f>
        <v/>
      </c>
      <c r="L11" s="19"/>
    </row>
    <row r="12" customFormat="false" ht="15" hidden="false" customHeight="false" outlineLevel="0" collapsed="false">
      <c r="A12" s="7" t="n">
        <v>8</v>
      </c>
      <c r="B12" s="6" t="s">
        <v>12</v>
      </c>
      <c r="C12" s="6" t="s">
        <v>83</v>
      </c>
      <c r="D12" s="6" t="s">
        <v>84</v>
      </c>
      <c r="E12" s="6" t="s">
        <v>85</v>
      </c>
      <c r="F12" s="15" t="s">
        <v>64</v>
      </c>
      <c r="G12" s="15" t="n">
        <v>60</v>
      </c>
      <c r="H12" s="16" t="str">
        <f aca="false">IF(OR('Tổng quan'!$B$3="",G12=""),"",'Tổng quan'!$B$3+G12)</f>
        <v/>
      </c>
      <c r="I12" s="15" t="s">
        <v>9</v>
      </c>
      <c r="J12" s="17"/>
      <c r="K12" s="18" t="str">
        <f aca="true">IF(OR(H12="",I12="Hoàn thành"),"",IF(H12&lt;TODAY(),"Quá hạn",""))</f>
        <v/>
      </c>
      <c r="L12" s="19"/>
    </row>
    <row r="13" customFormat="false" ht="23.85" hidden="false" customHeight="false" outlineLevel="0" collapsed="false">
      <c r="A13" s="7" t="n">
        <v>9</v>
      </c>
      <c r="B13" s="6" t="s">
        <v>13</v>
      </c>
      <c r="C13" s="6" t="s">
        <v>86</v>
      </c>
      <c r="D13" s="6" t="s">
        <v>87</v>
      </c>
      <c r="E13" s="6" t="s">
        <v>88</v>
      </c>
      <c r="F13" s="15" t="s">
        <v>64</v>
      </c>
      <c r="G13" s="15" t="n">
        <v>14</v>
      </c>
      <c r="H13" s="16" t="str">
        <f aca="false">IF(OR('Tổng quan'!$B$3="",G13=""),"",'Tổng quan'!$B$3+G13)</f>
        <v/>
      </c>
      <c r="I13" s="15" t="s">
        <v>9</v>
      </c>
      <c r="J13" s="17"/>
      <c r="K13" s="18" t="str">
        <f aca="true">IF(OR(H13="",I13="Hoàn thành"),"",IF(H13&lt;TODAY(),"Quá hạn",""))</f>
        <v/>
      </c>
      <c r="L13" s="19"/>
    </row>
    <row r="14" customFormat="false" ht="15" hidden="false" customHeight="false" outlineLevel="0" collapsed="false">
      <c r="A14" s="7" t="n">
        <v>10</v>
      </c>
      <c r="B14" s="6" t="s">
        <v>13</v>
      </c>
      <c r="C14" s="6" t="s">
        <v>89</v>
      </c>
      <c r="D14" s="6" t="s">
        <v>90</v>
      </c>
      <c r="E14" s="6" t="s">
        <v>91</v>
      </c>
      <c r="F14" s="15" t="s">
        <v>92</v>
      </c>
      <c r="G14" s="15" t="n">
        <v>90</v>
      </c>
      <c r="H14" s="16" t="str">
        <f aca="false">IF(OR('Tổng quan'!$B$3="",G14=""),"",'Tổng quan'!$B$3+G14)</f>
        <v/>
      </c>
      <c r="I14" s="15" t="s">
        <v>9</v>
      </c>
      <c r="J14" s="17"/>
      <c r="K14" s="18" t="str">
        <f aca="true">IF(OR(H14="",I14="Hoàn thành"),"",IF(H14&lt;TODAY(),"Quá hạn",""))</f>
        <v/>
      </c>
      <c r="L14" s="19"/>
    </row>
    <row r="15" customFormat="false" ht="15" hidden="false" customHeight="false" outlineLevel="0" collapsed="false">
      <c r="A15" s="7" t="n">
        <v>11</v>
      </c>
      <c r="B15" s="6" t="s">
        <v>13</v>
      </c>
      <c r="C15" s="6" t="s">
        <v>93</v>
      </c>
      <c r="D15" s="6" t="s">
        <v>94</v>
      </c>
      <c r="E15" s="6" t="s">
        <v>95</v>
      </c>
      <c r="F15" s="15" t="s">
        <v>92</v>
      </c>
      <c r="G15" s="15" t="n">
        <v>90</v>
      </c>
      <c r="H15" s="16" t="str">
        <f aca="false">IF(OR('Tổng quan'!$B$3="",G15=""),"",'Tổng quan'!$B$3+G15)</f>
        <v/>
      </c>
      <c r="I15" s="15" t="s">
        <v>9</v>
      </c>
      <c r="J15" s="17"/>
      <c r="K15" s="18" t="str">
        <f aca="true">IF(OR(H15="",I15="Hoàn thành"),"",IF(H15&lt;TODAY(),"Quá hạn",""))</f>
        <v/>
      </c>
      <c r="L15" s="19"/>
    </row>
    <row r="16" customFormat="false" ht="23.85" hidden="false" customHeight="false" outlineLevel="0" collapsed="false">
      <c r="A16" s="7" t="n">
        <v>12</v>
      </c>
      <c r="B16" s="6" t="s">
        <v>13</v>
      </c>
      <c r="C16" s="6" t="s">
        <v>96</v>
      </c>
      <c r="D16" s="6" t="s">
        <v>97</v>
      </c>
      <c r="E16" s="6" t="s">
        <v>98</v>
      </c>
      <c r="F16" s="15" t="s">
        <v>64</v>
      </c>
      <c r="G16" s="15" t="n">
        <v>90</v>
      </c>
      <c r="H16" s="16" t="str">
        <f aca="false">IF(OR('Tổng quan'!$B$3="",G16=""),"",'Tổng quan'!$B$3+G16)</f>
        <v/>
      </c>
      <c r="I16" s="15" t="s">
        <v>9</v>
      </c>
      <c r="J16" s="17"/>
      <c r="K16" s="18" t="str">
        <f aca="true">IF(OR(H16="",I16="Hoàn thành"),"",IF(H16&lt;TODAY(),"Quá hạn",""))</f>
        <v/>
      </c>
      <c r="L16" s="19"/>
    </row>
    <row r="17" customFormat="false" ht="15" hidden="false" customHeight="false" outlineLevel="0" collapsed="false">
      <c r="A17" s="7" t="n">
        <v>13</v>
      </c>
      <c r="B17" s="6" t="s">
        <v>13</v>
      </c>
      <c r="C17" s="6" t="s">
        <v>99</v>
      </c>
      <c r="D17" s="6" t="s">
        <v>100</v>
      </c>
      <c r="E17" s="6" t="s">
        <v>101</v>
      </c>
      <c r="F17" s="15" t="s">
        <v>92</v>
      </c>
      <c r="G17" s="15" t="n">
        <v>180</v>
      </c>
      <c r="H17" s="16" t="str">
        <f aca="false">IF(OR('Tổng quan'!$B$3="",G17=""),"",'Tổng quan'!$B$3+G17)</f>
        <v/>
      </c>
      <c r="I17" s="15" t="s">
        <v>9</v>
      </c>
      <c r="J17" s="17"/>
      <c r="K17" s="18" t="str">
        <f aca="true">IF(OR(H17="",I17="Hoàn thành"),"",IF(H17&lt;TODAY(),"Quá hạn",""))</f>
        <v/>
      </c>
      <c r="L17" s="19"/>
    </row>
    <row r="18" customFormat="false" ht="23.85" hidden="false" customHeight="false" outlineLevel="0" collapsed="false">
      <c r="A18" s="7" t="n">
        <v>14</v>
      </c>
      <c r="B18" s="6" t="s">
        <v>15</v>
      </c>
      <c r="C18" s="6" t="s">
        <v>102</v>
      </c>
      <c r="D18" s="6" t="s">
        <v>103</v>
      </c>
      <c r="E18" s="6" t="s">
        <v>104</v>
      </c>
      <c r="F18" s="15" t="s">
        <v>64</v>
      </c>
      <c r="G18" s="15" t="n">
        <v>120</v>
      </c>
      <c r="H18" s="16" t="str">
        <f aca="false">IF(OR('Tổng quan'!$B$3="",G18=""),"",'Tổng quan'!$B$3+G18)</f>
        <v/>
      </c>
      <c r="I18" s="15" t="s">
        <v>9</v>
      </c>
      <c r="J18" s="17"/>
      <c r="K18" s="18" t="str">
        <f aca="true">IF(OR(H18="",I18="Hoàn thành"),"",IF(H18&lt;TODAY(),"Quá hạn",""))</f>
        <v/>
      </c>
      <c r="L18" s="19"/>
    </row>
    <row r="19" customFormat="false" ht="23.85" hidden="false" customHeight="false" outlineLevel="0" collapsed="false">
      <c r="A19" s="7" t="n">
        <v>15</v>
      </c>
      <c r="B19" s="6" t="s">
        <v>15</v>
      </c>
      <c r="C19" s="6" t="s">
        <v>105</v>
      </c>
      <c r="D19" s="6" t="s">
        <v>106</v>
      </c>
      <c r="E19" s="6" t="s">
        <v>107</v>
      </c>
      <c r="F19" s="15" t="s">
        <v>64</v>
      </c>
      <c r="G19" s="15" t="n">
        <v>180</v>
      </c>
      <c r="H19" s="16" t="str">
        <f aca="false">IF(OR('Tổng quan'!$B$3="",G19=""),"",'Tổng quan'!$B$3+G19)</f>
        <v/>
      </c>
      <c r="I19" s="15" t="s">
        <v>9</v>
      </c>
      <c r="J19" s="17"/>
      <c r="K19" s="18" t="str">
        <f aca="true">IF(OR(H19="",I19="Hoàn thành"),"",IF(H19&lt;TODAY(),"Quá hạn",""))</f>
        <v/>
      </c>
      <c r="L19" s="19"/>
    </row>
    <row r="20" customFormat="false" ht="23.85" hidden="false" customHeight="false" outlineLevel="0" collapsed="false">
      <c r="A20" s="7" t="n">
        <v>16</v>
      </c>
      <c r="B20" s="6" t="s">
        <v>15</v>
      </c>
      <c r="C20" s="6" t="s">
        <v>108</v>
      </c>
      <c r="D20" s="6" t="s">
        <v>109</v>
      </c>
      <c r="E20" s="6" t="s">
        <v>110</v>
      </c>
      <c r="F20" s="15" t="s">
        <v>64</v>
      </c>
      <c r="G20" s="15" t="n">
        <v>180</v>
      </c>
      <c r="H20" s="16" t="str">
        <f aca="false">IF(OR('Tổng quan'!$B$3="",G20=""),"",'Tổng quan'!$B$3+G20)</f>
        <v/>
      </c>
      <c r="I20" s="15" t="s">
        <v>9</v>
      </c>
      <c r="J20" s="17"/>
      <c r="K20" s="18" t="str">
        <f aca="true">IF(OR(H20="",I20="Hoàn thành"),"",IF(H20&lt;TODAY(),"Quá hạn",""))</f>
        <v/>
      </c>
      <c r="L20" s="19"/>
    </row>
    <row r="21" customFormat="false" ht="23.85" hidden="false" customHeight="false" outlineLevel="0" collapsed="false">
      <c r="A21" s="7" t="n">
        <v>17</v>
      </c>
      <c r="B21" s="6" t="s">
        <v>15</v>
      </c>
      <c r="C21" s="6" t="s">
        <v>111</v>
      </c>
      <c r="D21" s="6" t="s">
        <v>112</v>
      </c>
      <c r="E21" s="6" t="s">
        <v>113</v>
      </c>
      <c r="F21" s="15" t="s">
        <v>64</v>
      </c>
      <c r="G21" s="15" t="n">
        <v>180</v>
      </c>
      <c r="H21" s="16" t="str">
        <f aca="false">IF(OR('Tổng quan'!$B$3="",G21=""),"",'Tổng quan'!$B$3+G21)</f>
        <v/>
      </c>
      <c r="I21" s="15" t="s">
        <v>9</v>
      </c>
      <c r="J21" s="17"/>
      <c r="K21" s="18" t="str">
        <f aca="true">IF(OR(H21="",I21="Hoàn thành"),"",IF(H21&lt;TODAY(),"Quá hạn",""))</f>
        <v/>
      </c>
      <c r="L21" s="19"/>
    </row>
    <row r="22" customFormat="false" ht="15" hidden="false" customHeight="false" outlineLevel="0" collapsed="false">
      <c r="A22" s="7" t="n">
        <v>18</v>
      </c>
      <c r="B22" s="6" t="s">
        <v>17</v>
      </c>
      <c r="C22" s="6" t="s">
        <v>114</v>
      </c>
      <c r="D22" s="6" t="s">
        <v>115</v>
      </c>
      <c r="E22" s="6" t="s">
        <v>116</v>
      </c>
      <c r="F22" s="15" t="s">
        <v>64</v>
      </c>
      <c r="G22" s="15" t="n">
        <v>180</v>
      </c>
      <c r="H22" s="16" t="str">
        <f aca="false">IF(OR('Tổng quan'!$B$3="",G22=""),"",'Tổng quan'!$B$3+G22)</f>
        <v/>
      </c>
      <c r="I22" s="15" t="s">
        <v>9</v>
      </c>
      <c r="J22" s="17"/>
      <c r="K22" s="18" t="str">
        <f aca="true">IF(OR(H22="",I22="Hoàn thành"),"",IF(H22&lt;TODAY(),"Quá hạn",""))</f>
        <v/>
      </c>
      <c r="L22" s="19"/>
    </row>
    <row r="23" customFormat="false" ht="23.85" hidden="false" customHeight="false" outlineLevel="0" collapsed="false">
      <c r="A23" s="7" t="n">
        <v>19</v>
      </c>
      <c r="B23" s="6" t="s">
        <v>17</v>
      </c>
      <c r="C23" s="6" t="s">
        <v>117</v>
      </c>
      <c r="D23" s="6" t="s">
        <v>118</v>
      </c>
      <c r="E23" s="6" t="s">
        <v>119</v>
      </c>
      <c r="F23" s="15" t="s">
        <v>64</v>
      </c>
      <c r="G23" s="15" t="n">
        <v>90</v>
      </c>
      <c r="H23" s="16" t="str">
        <f aca="false">IF(OR('Tổng quan'!$B$3="",G23=""),"",'Tổng quan'!$B$3+G23)</f>
        <v/>
      </c>
      <c r="I23" s="15" t="s">
        <v>9</v>
      </c>
      <c r="J23" s="17"/>
      <c r="K23" s="18" t="str">
        <f aca="true">IF(OR(H23="",I23="Hoàn thành"),"",IF(H23&lt;TODAY(),"Quá hạn",""))</f>
        <v/>
      </c>
      <c r="L23" s="19"/>
    </row>
    <row r="24" customFormat="false" ht="23.85" hidden="false" customHeight="false" outlineLevel="0" collapsed="false">
      <c r="A24" s="7" t="n">
        <v>20</v>
      </c>
      <c r="B24" s="6" t="s">
        <v>17</v>
      </c>
      <c r="C24" s="6" t="s">
        <v>120</v>
      </c>
      <c r="D24" s="6" t="s">
        <v>121</v>
      </c>
      <c r="E24" s="6" t="s">
        <v>122</v>
      </c>
      <c r="F24" s="15" t="s">
        <v>92</v>
      </c>
      <c r="G24" s="15"/>
      <c r="H24" s="16" t="str">
        <f aca="false">IF(OR('Tổng quan'!$B$3="",G24=""),"",'Tổng quan'!$B$3+G24)</f>
        <v/>
      </c>
      <c r="I24" s="15" t="s">
        <v>9</v>
      </c>
      <c r="J24" s="17"/>
      <c r="K24" s="18" t="str">
        <f aca="true">IF(OR(H24="",I24="Hoàn thành"),"",IF(H24&lt;TODAY(),"Quá hạn",""))</f>
        <v/>
      </c>
      <c r="L24" s="19"/>
    </row>
  </sheetData>
  <autoFilter ref="A4:L24"/>
  <mergeCells count="1">
    <mergeCell ref="A2:L2"/>
  </mergeCells>
  <conditionalFormatting sqref="I5:I24">
    <cfRule type="cellIs" priority="2" operator="equal" aboveAverage="0" equalAverage="0" bottom="0" percent="0" rank="0" text="" dxfId="6">
      <formula>"Hoàn thành"</formula>
    </cfRule>
    <cfRule type="cellIs" priority="3" operator="equal" aboveAverage="0" equalAverage="0" bottom="0" percent="0" rank="0" text="" dxfId="7">
      <formula>"Đang làm"</formula>
    </cfRule>
    <cfRule type="cellIs" priority="4" operator="equal" aboveAverage="0" equalAverage="0" bottom="0" percent="0" rank="0" text="" dxfId="8">
      <formula>"Vướng"</formula>
    </cfRule>
  </conditionalFormatting>
  <conditionalFormatting sqref="K5:K24">
    <cfRule type="expression" priority="5" aboveAverage="0" equalAverage="0" bottom="0" percent="0" rank="0" text="" dxfId="0">
      <formula>ISNUMBER(SEARCH("quá hạn",K5))</formula>
    </cfRule>
  </conditionalFormatting>
  <dataValidations count="3">
    <dataValidation allowBlank="true" errorStyle="stop" operator="between" showDropDown="false" showErrorMessage="true" showInputMessage="false" sqref="I5:I24" type="list">
      <formula1>"Chưa bắt đầu,Đang làm,Hoàn thành,Vướng"</formula1>
      <formula2>0</formula2>
    </dataValidation>
    <dataValidation allowBlank="true" errorStyle="stop" operator="between" showDropDown="false" showErrorMessage="true" showInputMessage="false" sqref="F5:F24" type="list">
      <formula1>"Cao,Trung bình,Thấp"</formula1>
      <formula2>0</formula2>
    </dataValidation>
    <dataValidation allowBlank="true" error="Nhập số ngày (số nguyên từ 0)" errorStyle="stop" operator="greaterThanOrEqual" showDropDown="false" showErrorMessage="true" showInputMessage="false" sqref="G5:G24" type="whole">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8"/>
    <col collapsed="false" customWidth="true" hidden="false" outlineLevel="0" max="2" min="2" style="0" width="34"/>
    <col collapsed="false" customWidth="true" hidden="false" outlineLevel="0" max="3" min="3" style="0" width="44"/>
    <col collapsed="false" customWidth="true" hidden="false" outlineLevel="0" max="4" min="4" style="0" width="38"/>
    <col collapsed="false" customWidth="true" hidden="false" outlineLevel="0" max="5" min="5" style="0" width="16"/>
    <col collapsed="false" customWidth="true" hidden="false" outlineLevel="0" max="6" min="6" style="0" width="24"/>
    <col collapsed="false" customWidth="true" hidden="false" outlineLevel="0" max="7" min="7" style="0" width="15"/>
    <col collapsed="false" customWidth="true" hidden="false" outlineLevel="0" max="8" min="8" style="0" width="30"/>
  </cols>
  <sheetData>
    <row r="1" customFormat="false" ht="17.35" hidden="false" customHeight="false" outlineLevel="0" collapsed="false">
      <c r="A1" s="1" t="s">
        <v>123</v>
      </c>
    </row>
    <row r="2" customFormat="false" ht="30" hidden="false" customHeight="true" outlineLevel="0" collapsed="false">
      <c r="A2" s="13" t="s">
        <v>124</v>
      </c>
      <c r="B2" s="13"/>
      <c r="C2" s="13"/>
      <c r="D2" s="13"/>
      <c r="E2" s="13"/>
      <c r="F2" s="13"/>
      <c r="G2" s="13"/>
      <c r="H2" s="13"/>
    </row>
    <row r="4" customFormat="false" ht="31.5" hidden="false" customHeight="true" outlineLevel="0" collapsed="false">
      <c r="A4" s="14" t="s">
        <v>125</v>
      </c>
      <c r="B4" s="14" t="s">
        <v>126</v>
      </c>
      <c r="C4" s="14" t="s">
        <v>127</v>
      </c>
      <c r="D4" s="14" t="s">
        <v>52</v>
      </c>
      <c r="E4" s="14" t="s">
        <v>128</v>
      </c>
      <c r="F4" s="14" t="s">
        <v>129</v>
      </c>
      <c r="G4" s="14" t="s">
        <v>57</v>
      </c>
      <c r="H4" s="14" t="s">
        <v>60</v>
      </c>
    </row>
    <row r="5" customFormat="false" ht="23.85" hidden="false" customHeight="false" outlineLevel="0" collapsed="false">
      <c r="A5" s="6" t="s">
        <v>130</v>
      </c>
      <c r="B5" s="6" t="s">
        <v>131</v>
      </c>
      <c r="C5" s="6" t="s">
        <v>132</v>
      </c>
      <c r="D5" s="6" t="s">
        <v>133</v>
      </c>
      <c r="E5" s="15" t="s">
        <v>134</v>
      </c>
      <c r="F5" s="19"/>
      <c r="G5" s="15" t="s">
        <v>9</v>
      </c>
      <c r="H5" s="19"/>
    </row>
    <row r="6" customFormat="false" ht="23.85" hidden="false" customHeight="false" outlineLevel="0" collapsed="false">
      <c r="A6" s="6" t="s">
        <v>135</v>
      </c>
      <c r="B6" s="6" t="s">
        <v>136</v>
      </c>
      <c r="C6" s="6" t="s">
        <v>137</v>
      </c>
      <c r="D6" s="6" t="s">
        <v>138</v>
      </c>
      <c r="E6" s="15" t="s">
        <v>134</v>
      </c>
      <c r="F6" s="19"/>
      <c r="G6" s="15" t="s">
        <v>9</v>
      </c>
      <c r="H6" s="19"/>
    </row>
    <row r="7" customFormat="false" ht="23.85" hidden="false" customHeight="false" outlineLevel="0" collapsed="false">
      <c r="A7" s="6" t="s">
        <v>139</v>
      </c>
      <c r="B7" s="6" t="s">
        <v>140</v>
      </c>
      <c r="C7" s="6" t="s">
        <v>141</v>
      </c>
      <c r="D7" s="6" t="s">
        <v>142</v>
      </c>
      <c r="E7" s="15" t="s">
        <v>134</v>
      </c>
      <c r="F7" s="19"/>
      <c r="G7" s="15" t="s">
        <v>9</v>
      </c>
      <c r="H7" s="19"/>
    </row>
    <row r="8" customFormat="false" ht="23.85" hidden="false" customHeight="false" outlineLevel="0" collapsed="false">
      <c r="A8" s="6" t="s">
        <v>143</v>
      </c>
      <c r="B8" s="6" t="s">
        <v>144</v>
      </c>
      <c r="C8" s="6" t="s">
        <v>145</v>
      </c>
      <c r="D8" s="6" t="s">
        <v>146</v>
      </c>
      <c r="E8" s="15" t="s">
        <v>134</v>
      </c>
      <c r="F8" s="19"/>
      <c r="G8" s="15" t="s">
        <v>9</v>
      </c>
      <c r="H8" s="19"/>
    </row>
    <row r="9" customFormat="false" ht="23.85" hidden="false" customHeight="false" outlineLevel="0" collapsed="false">
      <c r="A9" s="6" t="s">
        <v>147</v>
      </c>
      <c r="B9" s="6" t="s">
        <v>148</v>
      </c>
      <c r="C9" s="6" t="s">
        <v>149</v>
      </c>
      <c r="D9" s="6" t="s">
        <v>150</v>
      </c>
      <c r="E9" s="15" t="s">
        <v>134</v>
      </c>
      <c r="F9" s="19"/>
      <c r="G9" s="15" t="s">
        <v>9</v>
      </c>
      <c r="H9" s="19"/>
    </row>
  </sheetData>
  <mergeCells count="1">
    <mergeCell ref="A2:H2"/>
  </mergeCells>
  <conditionalFormatting sqref="G5:G9">
    <cfRule type="cellIs" priority="2" operator="equal" aboveAverage="0" equalAverage="0" bottom="0" percent="0" rank="0" text="" dxfId="6">
      <formula>"Hoàn thành"</formula>
    </cfRule>
    <cfRule type="cellIs" priority="3" operator="equal" aboveAverage="0" equalAverage="0" bottom="0" percent="0" rank="0" text="" dxfId="7">
      <formula>"Đang làm"</formula>
    </cfRule>
    <cfRule type="cellIs" priority="4" operator="equal" aboveAverage="0" equalAverage="0" bottom="0" percent="0" rank="0" text="" dxfId="8">
      <formula>"Vướng"</formula>
    </cfRule>
  </conditionalFormatting>
  <dataValidations count="2">
    <dataValidation allowBlank="true" errorStyle="stop" operator="between" showDropDown="false" showErrorMessage="true" showInputMessage="false" sqref="E5:E9" type="list">
      <formula1>"Có,Không,Chưa rõ"</formula1>
      <formula2>0</formula2>
    </dataValidation>
    <dataValidation allowBlank="true" errorStyle="stop" operator="between" showDropDown="false" showErrorMessage="true" showInputMessage="false" sqref="G5:G9" type="list">
      <formula1>"Chưa bắt đầu,Đang làm,Hoàn thành,Vướng"</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0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6"/>
    <col collapsed="false" customWidth="true" hidden="false" outlineLevel="0" max="4" min="4" style="0" width="18"/>
    <col collapsed="false" customWidth="true" hidden="false" outlineLevel="0" max="6" min="5" style="0" width="22"/>
    <col collapsed="false" customWidth="true" hidden="false" outlineLevel="0" max="8" min="7" style="0" width="18"/>
    <col collapsed="false" customWidth="true" hidden="false" outlineLevel="0" max="10" min="9" style="0" width="12"/>
    <col collapsed="false" customWidth="true" hidden="false" outlineLevel="0" max="11" min="11" style="0" width="14"/>
    <col collapsed="false" customWidth="true" hidden="false" outlineLevel="0" max="12" min="12" style="0" width="30"/>
    <col collapsed="false" customWidth="true" hidden="false" outlineLevel="0" max="13" min="13" style="0" width="14"/>
    <col collapsed="false" customWidth="true" hidden="false" outlineLevel="0" max="14" min="14" style="0" width="22"/>
    <col collapsed="false" customWidth="true" hidden="false" outlineLevel="0" max="15" min="15" style="0" width="30"/>
  </cols>
  <sheetData>
    <row r="1" customFormat="false" ht="17.35" hidden="false" customHeight="false" outlineLevel="0" collapsed="false">
      <c r="A1" s="1" t="s">
        <v>151</v>
      </c>
    </row>
    <row r="2" customFormat="false" ht="30" hidden="false" customHeight="true" outlineLevel="0" collapsed="false">
      <c r="A2" s="13" t="s">
        <v>152</v>
      </c>
      <c r="B2" s="13"/>
      <c r="C2" s="13"/>
      <c r="D2" s="13"/>
      <c r="E2" s="13"/>
      <c r="F2" s="13"/>
      <c r="G2" s="13"/>
      <c r="H2" s="13"/>
      <c r="I2" s="13"/>
      <c r="J2" s="13"/>
      <c r="K2" s="13"/>
      <c r="L2" s="13"/>
      <c r="M2" s="13"/>
      <c r="N2" s="13"/>
      <c r="O2" s="13"/>
    </row>
    <row r="4" customFormat="false" ht="31.5" hidden="false" customHeight="true" outlineLevel="0" collapsed="false">
      <c r="A4" s="14" t="s">
        <v>50</v>
      </c>
      <c r="B4" s="14" t="s">
        <v>153</v>
      </c>
      <c r="C4" s="14" t="s">
        <v>154</v>
      </c>
      <c r="D4" s="14" t="s">
        <v>155</v>
      </c>
      <c r="E4" s="14" t="s">
        <v>156</v>
      </c>
      <c r="F4" s="14" t="s">
        <v>157</v>
      </c>
      <c r="G4" s="14" t="s">
        <v>158</v>
      </c>
      <c r="H4" s="14" t="s">
        <v>159</v>
      </c>
      <c r="I4" s="14" t="s">
        <v>160</v>
      </c>
      <c r="J4" s="14" t="s">
        <v>161</v>
      </c>
      <c r="K4" s="14" t="s">
        <v>162</v>
      </c>
      <c r="L4" s="14" t="s">
        <v>163</v>
      </c>
      <c r="M4" s="14" t="s">
        <v>164</v>
      </c>
      <c r="N4" s="14" t="s">
        <v>59</v>
      </c>
      <c r="O4" s="14" t="s">
        <v>60</v>
      </c>
    </row>
    <row r="5" customFormat="false" ht="91" hidden="false" customHeight="false" outlineLevel="0" collapsed="false">
      <c r="A5" s="7" t="n">
        <v>1</v>
      </c>
      <c r="B5" s="19" t="s">
        <v>165</v>
      </c>
      <c r="C5" s="15" t="s">
        <v>166</v>
      </c>
      <c r="D5" s="19" t="s">
        <v>167</v>
      </c>
      <c r="E5" s="19" t="s">
        <v>168</v>
      </c>
      <c r="F5" s="19"/>
      <c r="G5" s="19"/>
      <c r="H5" s="15" t="s">
        <v>27</v>
      </c>
      <c r="I5" s="15"/>
      <c r="J5" s="15"/>
      <c r="K5" s="17"/>
      <c r="L5" s="19" t="s">
        <v>169</v>
      </c>
      <c r="M5" s="17"/>
      <c r="N5" s="20" t="str">
        <f aca="true">IF(B5="","",IF(AND(M5&lt;&gt;"",M5&lt;TODAY()),"Quá hạn việc tiếp theo",IF(AND(K5&lt;&gt;"",TODAY()-K5&gt;30),"Hơn 30 ngày chưa liên hệ","")))</f>
        <v/>
      </c>
      <c r="O5" s="19" t="s">
        <v>170</v>
      </c>
    </row>
    <row r="6" customFormat="false" ht="102.2" hidden="false" customHeight="false" outlineLevel="0" collapsed="false">
      <c r="A6" s="7" t="n">
        <v>2</v>
      </c>
      <c r="B6" s="19" t="s">
        <v>171</v>
      </c>
      <c r="C6" s="15" t="s">
        <v>166</v>
      </c>
      <c r="D6" s="19" t="s">
        <v>172</v>
      </c>
      <c r="E6" s="19" t="s">
        <v>173</v>
      </c>
      <c r="F6" s="19"/>
      <c r="G6" s="19"/>
      <c r="H6" s="15" t="s">
        <v>27</v>
      </c>
      <c r="I6" s="15"/>
      <c r="J6" s="15"/>
      <c r="K6" s="17"/>
      <c r="L6" s="19" t="s">
        <v>174</v>
      </c>
      <c r="M6" s="17"/>
      <c r="N6" s="20" t="str">
        <f aca="true">IF(B6="","",IF(AND(M6&lt;&gt;"",M6&lt;TODAY()),"Quá hạn việc tiếp theo",IF(AND(K6&lt;&gt;"",TODAY()-K6&gt;30),"Hơn 30 ngày chưa liên hệ","")))</f>
        <v/>
      </c>
      <c r="O6" s="19" t="s">
        <v>175</v>
      </c>
    </row>
    <row r="7" customFormat="false" ht="68.65" hidden="false" customHeight="false" outlineLevel="0" collapsed="false">
      <c r="A7" s="7" t="n">
        <v>3</v>
      </c>
      <c r="B7" s="19" t="s">
        <v>176</v>
      </c>
      <c r="C7" s="15" t="s">
        <v>166</v>
      </c>
      <c r="D7" s="19" t="s">
        <v>177</v>
      </c>
      <c r="E7" s="19" t="s">
        <v>178</v>
      </c>
      <c r="F7" s="19"/>
      <c r="G7" s="19"/>
      <c r="H7" s="15" t="s">
        <v>27</v>
      </c>
      <c r="I7" s="15"/>
      <c r="J7" s="15"/>
      <c r="K7" s="17"/>
      <c r="L7" s="19" t="s">
        <v>179</v>
      </c>
      <c r="M7" s="17"/>
      <c r="N7" s="20" t="str">
        <f aca="true">IF(B7="","",IF(AND(M7&lt;&gt;"",M7&lt;TODAY()),"Quá hạn việc tiếp theo",IF(AND(K7&lt;&gt;"",TODAY()-K7&gt;30),"Hơn 30 ngày chưa liên hệ","")))</f>
        <v/>
      </c>
      <c r="O7" s="19" t="s">
        <v>180</v>
      </c>
    </row>
    <row r="8" customFormat="false" ht="15" hidden="false" customHeight="false" outlineLevel="0" collapsed="false">
      <c r="A8" s="7" t="n">
        <v>4</v>
      </c>
      <c r="B8" s="19"/>
      <c r="C8" s="15"/>
      <c r="D8" s="19"/>
      <c r="E8" s="19"/>
      <c r="F8" s="19"/>
      <c r="G8" s="19"/>
      <c r="H8" s="15"/>
      <c r="I8" s="15"/>
      <c r="J8" s="15"/>
      <c r="K8" s="17"/>
      <c r="L8" s="19"/>
      <c r="M8" s="17"/>
      <c r="N8" s="20" t="str">
        <f aca="true">IF(B8="","",IF(AND(M8&lt;&gt;"",M8&lt;TODAY()),"Quá hạn việc tiếp theo",IF(AND(K8&lt;&gt;"",TODAY()-K8&gt;30),"Hơn 30 ngày chưa liên hệ","")))</f>
        <v/>
      </c>
      <c r="O8" s="19"/>
    </row>
    <row r="9" customFormat="false" ht="15" hidden="false" customHeight="false" outlineLevel="0" collapsed="false">
      <c r="A9" s="7" t="n">
        <v>5</v>
      </c>
      <c r="B9" s="19"/>
      <c r="C9" s="15"/>
      <c r="D9" s="19"/>
      <c r="E9" s="19"/>
      <c r="F9" s="19"/>
      <c r="G9" s="19"/>
      <c r="H9" s="15"/>
      <c r="I9" s="15"/>
      <c r="J9" s="15"/>
      <c r="K9" s="17"/>
      <c r="L9" s="19"/>
      <c r="M9" s="17"/>
      <c r="N9" s="20" t="str">
        <f aca="true">IF(B9="","",IF(AND(M9&lt;&gt;"",M9&lt;TODAY()),"Quá hạn việc tiếp theo",IF(AND(K9&lt;&gt;"",TODAY()-K9&gt;30),"Hơn 30 ngày chưa liên hệ","")))</f>
        <v/>
      </c>
      <c r="O9" s="19"/>
    </row>
    <row r="10" customFormat="false" ht="15" hidden="false" customHeight="false" outlineLevel="0" collapsed="false">
      <c r="A10" s="7" t="n">
        <v>6</v>
      </c>
      <c r="B10" s="19"/>
      <c r="C10" s="15"/>
      <c r="D10" s="19"/>
      <c r="E10" s="19"/>
      <c r="F10" s="19"/>
      <c r="G10" s="19"/>
      <c r="H10" s="15"/>
      <c r="I10" s="15"/>
      <c r="J10" s="15"/>
      <c r="K10" s="17"/>
      <c r="L10" s="19"/>
      <c r="M10" s="17"/>
      <c r="N10" s="20" t="str">
        <f aca="true">IF(B10="","",IF(AND(M10&lt;&gt;"",M10&lt;TODAY()),"Quá hạn việc tiếp theo",IF(AND(K10&lt;&gt;"",TODAY()-K10&gt;30),"Hơn 30 ngày chưa liên hệ","")))</f>
        <v/>
      </c>
      <c r="O10" s="19"/>
    </row>
    <row r="11" customFormat="false" ht="15" hidden="false" customHeight="false" outlineLevel="0" collapsed="false">
      <c r="A11" s="7" t="n">
        <v>7</v>
      </c>
      <c r="B11" s="19"/>
      <c r="C11" s="15"/>
      <c r="D11" s="19"/>
      <c r="E11" s="19"/>
      <c r="F11" s="19"/>
      <c r="G11" s="19"/>
      <c r="H11" s="15"/>
      <c r="I11" s="15"/>
      <c r="J11" s="15"/>
      <c r="K11" s="17"/>
      <c r="L11" s="19"/>
      <c r="M11" s="17"/>
      <c r="N11" s="20" t="str">
        <f aca="true">IF(B11="","",IF(AND(M11&lt;&gt;"",M11&lt;TODAY()),"Quá hạn việc tiếp theo",IF(AND(K11&lt;&gt;"",TODAY()-K11&gt;30),"Hơn 30 ngày chưa liên hệ","")))</f>
        <v/>
      </c>
      <c r="O11" s="19"/>
    </row>
    <row r="12" customFormat="false" ht="15" hidden="false" customHeight="false" outlineLevel="0" collapsed="false">
      <c r="A12" s="7" t="n">
        <v>8</v>
      </c>
      <c r="B12" s="19"/>
      <c r="C12" s="15"/>
      <c r="D12" s="19"/>
      <c r="E12" s="19"/>
      <c r="F12" s="19"/>
      <c r="G12" s="19"/>
      <c r="H12" s="15"/>
      <c r="I12" s="15"/>
      <c r="J12" s="15"/>
      <c r="K12" s="17"/>
      <c r="L12" s="19"/>
      <c r="M12" s="17"/>
      <c r="N12" s="20" t="str">
        <f aca="true">IF(B12="","",IF(AND(M12&lt;&gt;"",M12&lt;TODAY()),"Quá hạn việc tiếp theo",IF(AND(K12&lt;&gt;"",TODAY()-K12&gt;30),"Hơn 30 ngày chưa liên hệ","")))</f>
        <v/>
      </c>
      <c r="O12" s="19"/>
    </row>
    <row r="13" customFormat="false" ht="15" hidden="false" customHeight="false" outlineLevel="0" collapsed="false">
      <c r="A13" s="7" t="n">
        <v>9</v>
      </c>
      <c r="B13" s="19"/>
      <c r="C13" s="15"/>
      <c r="D13" s="19"/>
      <c r="E13" s="19"/>
      <c r="F13" s="19"/>
      <c r="G13" s="19"/>
      <c r="H13" s="15"/>
      <c r="I13" s="15"/>
      <c r="J13" s="15"/>
      <c r="K13" s="17"/>
      <c r="L13" s="19"/>
      <c r="M13" s="17"/>
      <c r="N13" s="20" t="str">
        <f aca="true">IF(B13="","",IF(AND(M13&lt;&gt;"",M13&lt;TODAY()),"Quá hạn việc tiếp theo",IF(AND(K13&lt;&gt;"",TODAY()-K13&gt;30),"Hơn 30 ngày chưa liên hệ","")))</f>
        <v/>
      </c>
      <c r="O13" s="19"/>
    </row>
    <row r="14" customFormat="false" ht="15" hidden="false" customHeight="false" outlineLevel="0" collapsed="false">
      <c r="A14" s="7" t="n">
        <v>10</v>
      </c>
      <c r="B14" s="19"/>
      <c r="C14" s="15"/>
      <c r="D14" s="19"/>
      <c r="E14" s="19"/>
      <c r="F14" s="19"/>
      <c r="G14" s="19"/>
      <c r="H14" s="15"/>
      <c r="I14" s="15"/>
      <c r="J14" s="15"/>
      <c r="K14" s="17"/>
      <c r="L14" s="19"/>
      <c r="M14" s="17"/>
      <c r="N14" s="20" t="str">
        <f aca="true">IF(B14="","",IF(AND(M14&lt;&gt;"",M14&lt;TODAY()),"Quá hạn việc tiếp theo",IF(AND(K14&lt;&gt;"",TODAY()-K14&gt;30),"Hơn 30 ngày chưa liên hệ","")))</f>
        <v/>
      </c>
      <c r="O14" s="19"/>
    </row>
    <row r="15" customFormat="false" ht="15" hidden="false" customHeight="false" outlineLevel="0" collapsed="false">
      <c r="A15" s="7" t="n">
        <v>11</v>
      </c>
      <c r="B15" s="19"/>
      <c r="C15" s="15"/>
      <c r="D15" s="19"/>
      <c r="E15" s="19"/>
      <c r="F15" s="19"/>
      <c r="G15" s="19"/>
      <c r="H15" s="15"/>
      <c r="I15" s="15"/>
      <c r="J15" s="15"/>
      <c r="K15" s="17"/>
      <c r="L15" s="19"/>
      <c r="M15" s="17"/>
      <c r="N15" s="20" t="str">
        <f aca="true">IF(B15="","",IF(AND(M15&lt;&gt;"",M15&lt;TODAY()),"Quá hạn việc tiếp theo",IF(AND(K15&lt;&gt;"",TODAY()-K15&gt;30),"Hơn 30 ngày chưa liên hệ","")))</f>
        <v/>
      </c>
      <c r="O15" s="19"/>
    </row>
    <row r="16" customFormat="false" ht="15" hidden="false" customHeight="false" outlineLevel="0" collapsed="false">
      <c r="A16" s="7" t="n">
        <v>12</v>
      </c>
      <c r="B16" s="19"/>
      <c r="C16" s="15"/>
      <c r="D16" s="19"/>
      <c r="E16" s="19"/>
      <c r="F16" s="19"/>
      <c r="G16" s="19"/>
      <c r="H16" s="15"/>
      <c r="I16" s="15"/>
      <c r="J16" s="15"/>
      <c r="K16" s="17"/>
      <c r="L16" s="19"/>
      <c r="M16" s="17"/>
      <c r="N16" s="20" t="str">
        <f aca="true">IF(B16="","",IF(AND(M16&lt;&gt;"",M16&lt;TODAY()),"Quá hạn việc tiếp theo",IF(AND(K16&lt;&gt;"",TODAY()-K16&gt;30),"Hơn 30 ngày chưa liên hệ","")))</f>
        <v/>
      </c>
      <c r="O16" s="19"/>
    </row>
    <row r="17" customFormat="false" ht="15" hidden="false" customHeight="false" outlineLevel="0" collapsed="false">
      <c r="A17" s="7" t="n">
        <v>13</v>
      </c>
      <c r="B17" s="19"/>
      <c r="C17" s="15"/>
      <c r="D17" s="19"/>
      <c r="E17" s="19"/>
      <c r="F17" s="19"/>
      <c r="G17" s="19"/>
      <c r="H17" s="15"/>
      <c r="I17" s="15"/>
      <c r="J17" s="15"/>
      <c r="K17" s="17"/>
      <c r="L17" s="19"/>
      <c r="M17" s="17"/>
      <c r="N17" s="20" t="str">
        <f aca="true">IF(B17="","",IF(AND(M17&lt;&gt;"",M17&lt;TODAY()),"Quá hạn việc tiếp theo",IF(AND(K17&lt;&gt;"",TODAY()-K17&gt;30),"Hơn 30 ngày chưa liên hệ","")))</f>
        <v/>
      </c>
      <c r="O17" s="19"/>
    </row>
    <row r="18" customFormat="false" ht="15" hidden="false" customHeight="false" outlineLevel="0" collapsed="false">
      <c r="A18" s="7" t="n">
        <v>14</v>
      </c>
      <c r="B18" s="19"/>
      <c r="C18" s="15"/>
      <c r="D18" s="19"/>
      <c r="E18" s="19"/>
      <c r="F18" s="19"/>
      <c r="G18" s="19"/>
      <c r="H18" s="15"/>
      <c r="I18" s="15"/>
      <c r="J18" s="15"/>
      <c r="K18" s="17"/>
      <c r="L18" s="19"/>
      <c r="M18" s="17"/>
      <c r="N18" s="20" t="str">
        <f aca="true">IF(B18="","",IF(AND(M18&lt;&gt;"",M18&lt;TODAY()),"Quá hạn việc tiếp theo",IF(AND(K18&lt;&gt;"",TODAY()-K18&gt;30),"Hơn 30 ngày chưa liên hệ","")))</f>
        <v/>
      </c>
      <c r="O18" s="19"/>
    </row>
    <row r="19" customFormat="false" ht="15" hidden="false" customHeight="false" outlineLevel="0" collapsed="false">
      <c r="A19" s="7" t="n">
        <v>15</v>
      </c>
      <c r="B19" s="19"/>
      <c r="C19" s="15"/>
      <c r="D19" s="19"/>
      <c r="E19" s="19"/>
      <c r="F19" s="19"/>
      <c r="G19" s="19"/>
      <c r="H19" s="15"/>
      <c r="I19" s="15"/>
      <c r="J19" s="15"/>
      <c r="K19" s="17"/>
      <c r="L19" s="19"/>
      <c r="M19" s="17"/>
      <c r="N19" s="20" t="str">
        <f aca="true">IF(B19="","",IF(AND(M19&lt;&gt;"",M19&lt;TODAY()),"Quá hạn việc tiếp theo",IF(AND(K19&lt;&gt;"",TODAY()-K19&gt;30),"Hơn 30 ngày chưa liên hệ","")))</f>
        <v/>
      </c>
      <c r="O19" s="19"/>
    </row>
    <row r="20" customFormat="false" ht="15" hidden="false" customHeight="false" outlineLevel="0" collapsed="false">
      <c r="A20" s="7" t="n">
        <v>16</v>
      </c>
      <c r="B20" s="19"/>
      <c r="C20" s="15"/>
      <c r="D20" s="19"/>
      <c r="E20" s="19"/>
      <c r="F20" s="19"/>
      <c r="G20" s="19"/>
      <c r="H20" s="15"/>
      <c r="I20" s="15"/>
      <c r="J20" s="15"/>
      <c r="K20" s="17"/>
      <c r="L20" s="19"/>
      <c r="M20" s="17"/>
      <c r="N20" s="20" t="str">
        <f aca="true">IF(B20="","",IF(AND(M20&lt;&gt;"",M20&lt;TODAY()),"Quá hạn việc tiếp theo",IF(AND(K20&lt;&gt;"",TODAY()-K20&gt;30),"Hơn 30 ngày chưa liên hệ","")))</f>
        <v/>
      </c>
      <c r="O20" s="19"/>
    </row>
    <row r="21" customFormat="false" ht="15" hidden="false" customHeight="false" outlineLevel="0" collapsed="false">
      <c r="A21" s="7" t="n">
        <v>17</v>
      </c>
      <c r="B21" s="19"/>
      <c r="C21" s="15"/>
      <c r="D21" s="19"/>
      <c r="E21" s="19"/>
      <c r="F21" s="19"/>
      <c r="G21" s="19"/>
      <c r="H21" s="15"/>
      <c r="I21" s="15"/>
      <c r="J21" s="15"/>
      <c r="K21" s="17"/>
      <c r="L21" s="19"/>
      <c r="M21" s="17"/>
      <c r="N21" s="20" t="str">
        <f aca="true">IF(B21="","",IF(AND(M21&lt;&gt;"",M21&lt;TODAY()),"Quá hạn việc tiếp theo",IF(AND(K21&lt;&gt;"",TODAY()-K21&gt;30),"Hơn 30 ngày chưa liên hệ","")))</f>
        <v/>
      </c>
      <c r="O21" s="19"/>
    </row>
    <row r="22" customFormat="false" ht="15" hidden="false" customHeight="false" outlineLevel="0" collapsed="false">
      <c r="A22" s="7" t="n">
        <v>18</v>
      </c>
      <c r="B22" s="19"/>
      <c r="C22" s="15"/>
      <c r="D22" s="19"/>
      <c r="E22" s="19"/>
      <c r="F22" s="19"/>
      <c r="G22" s="19"/>
      <c r="H22" s="15"/>
      <c r="I22" s="15"/>
      <c r="J22" s="15"/>
      <c r="K22" s="17"/>
      <c r="L22" s="19"/>
      <c r="M22" s="17"/>
      <c r="N22" s="20" t="str">
        <f aca="true">IF(B22="","",IF(AND(M22&lt;&gt;"",M22&lt;TODAY()),"Quá hạn việc tiếp theo",IF(AND(K22&lt;&gt;"",TODAY()-K22&gt;30),"Hơn 30 ngày chưa liên hệ","")))</f>
        <v/>
      </c>
      <c r="O22" s="19"/>
    </row>
    <row r="23" customFormat="false" ht="15" hidden="false" customHeight="false" outlineLevel="0" collapsed="false">
      <c r="A23" s="7" t="n">
        <v>19</v>
      </c>
      <c r="B23" s="19"/>
      <c r="C23" s="15"/>
      <c r="D23" s="19"/>
      <c r="E23" s="19"/>
      <c r="F23" s="19"/>
      <c r="G23" s="19"/>
      <c r="H23" s="15"/>
      <c r="I23" s="15"/>
      <c r="J23" s="15"/>
      <c r="K23" s="17"/>
      <c r="L23" s="19"/>
      <c r="M23" s="17"/>
      <c r="N23" s="20" t="str">
        <f aca="true">IF(B23="","",IF(AND(M23&lt;&gt;"",M23&lt;TODAY()),"Quá hạn việc tiếp theo",IF(AND(K23&lt;&gt;"",TODAY()-K23&gt;30),"Hơn 30 ngày chưa liên hệ","")))</f>
        <v/>
      </c>
      <c r="O23" s="19"/>
    </row>
    <row r="24" customFormat="false" ht="15" hidden="false" customHeight="false" outlineLevel="0" collapsed="false">
      <c r="A24" s="7" t="n">
        <v>20</v>
      </c>
      <c r="B24" s="19"/>
      <c r="C24" s="15"/>
      <c r="D24" s="19"/>
      <c r="E24" s="19"/>
      <c r="F24" s="19"/>
      <c r="G24" s="19"/>
      <c r="H24" s="15"/>
      <c r="I24" s="15"/>
      <c r="J24" s="15"/>
      <c r="K24" s="17"/>
      <c r="L24" s="19"/>
      <c r="M24" s="17"/>
      <c r="N24" s="20" t="str">
        <f aca="true">IF(B24="","",IF(AND(M24&lt;&gt;"",M24&lt;TODAY()),"Quá hạn việc tiếp theo",IF(AND(K24&lt;&gt;"",TODAY()-K24&gt;30),"Hơn 30 ngày chưa liên hệ","")))</f>
        <v/>
      </c>
      <c r="O24" s="19"/>
    </row>
    <row r="25" customFormat="false" ht="15" hidden="false" customHeight="false" outlineLevel="0" collapsed="false">
      <c r="A25" s="7" t="n">
        <v>21</v>
      </c>
      <c r="B25" s="19"/>
      <c r="C25" s="15"/>
      <c r="D25" s="19"/>
      <c r="E25" s="19"/>
      <c r="F25" s="19"/>
      <c r="G25" s="19"/>
      <c r="H25" s="15"/>
      <c r="I25" s="15"/>
      <c r="J25" s="15"/>
      <c r="K25" s="17"/>
      <c r="L25" s="19"/>
      <c r="M25" s="17"/>
      <c r="N25" s="20" t="str">
        <f aca="true">IF(B25="","",IF(AND(M25&lt;&gt;"",M25&lt;TODAY()),"Quá hạn việc tiếp theo",IF(AND(K25&lt;&gt;"",TODAY()-K25&gt;30),"Hơn 30 ngày chưa liên hệ","")))</f>
        <v/>
      </c>
      <c r="O25" s="19"/>
    </row>
    <row r="26" customFormat="false" ht="15" hidden="false" customHeight="false" outlineLevel="0" collapsed="false">
      <c r="A26" s="7" t="n">
        <v>22</v>
      </c>
      <c r="B26" s="19"/>
      <c r="C26" s="15"/>
      <c r="D26" s="19"/>
      <c r="E26" s="19"/>
      <c r="F26" s="19"/>
      <c r="G26" s="19"/>
      <c r="H26" s="15"/>
      <c r="I26" s="15"/>
      <c r="J26" s="15"/>
      <c r="K26" s="17"/>
      <c r="L26" s="19"/>
      <c r="M26" s="17"/>
      <c r="N26" s="20" t="str">
        <f aca="true">IF(B26="","",IF(AND(M26&lt;&gt;"",M26&lt;TODAY()),"Quá hạn việc tiếp theo",IF(AND(K26&lt;&gt;"",TODAY()-K26&gt;30),"Hơn 30 ngày chưa liên hệ","")))</f>
        <v/>
      </c>
      <c r="O26" s="19"/>
    </row>
    <row r="27" customFormat="false" ht="15" hidden="false" customHeight="false" outlineLevel="0" collapsed="false">
      <c r="A27" s="7" t="n">
        <v>23</v>
      </c>
      <c r="B27" s="19"/>
      <c r="C27" s="15"/>
      <c r="D27" s="19"/>
      <c r="E27" s="19"/>
      <c r="F27" s="19"/>
      <c r="G27" s="19"/>
      <c r="H27" s="15"/>
      <c r="I27" s="15"/>
      <c r="J27" s="15"/>
      <c r="K27" s="17"/>
      <c r="L27" s="19"/>
      <c r="M27" s="17"/>
      <c r="N27" s="20" t="str">
        <f aca="true">IF(B27="","",IF(AND(M27&lt;&gt;"",M27&lt;TODAY()),"Quá hạn việc tiếp theo",IF(AND(K27&lt;&gt;"",TODAY()-K27&gt;30),"Hơn 30 ngày chưa liên hệ","")))</f>
        <v/>
      </c>
      <c r="O27" s="19"/>
    </row>
    <row r="28" customFormat="false" ht="15" hidden="false" customHeight="false" outlineLevel="0" collapsed="false">
      <c r="A28" s="7" t="n">
        <v>24</v>
      </c>
      <c r="B28" s="19"/>
      <c r="C28" s="15"/>
      <c r="D28" s="19"/>
      <c r="E28" s="19"/>
      <c r="F28" s="19"/>
      <c r="G28" s="19"/>
      <c r="H28" s="15"/>
      <c r="I28" s="15"/>
      <c r="J28" s="15"/>
      <c r="K28" s="17"/>
      <c r="L28" s="19"/>
      <c r="M28" s="17"/>
      <c r="N28" s="20" t="str">
        <f aca="true">IF(B28="","",IF(AND(M28&lt;&gt;"",M28&lt;TODAY()),"Quá hạn việc tiếp theo",IF(AND(K28&lt;&gt;"",TODAY()-K28&gt;30),"Hơn 30 ngày chưa liên hệ","")))</f>
        <v/>
      </c>
      <c r="O28" s="19"/>
    </row>
    <row r="29" customFormat="false" ht="15" hidden="false" customHeight="false" outlineLevel="0" collapsed="false">
      <c r="A29" s="7" t="n">
        <v>25</v>
      </c>
      <c r="B29" s="19"/>
      <c r="C29" s="15"/>
      <c r="D29" s="19"/>
      <c r="E29" s="19"/>
      <c r="F29" s="19"/>
      <c r="G29" s="19"/>
      <c r="H29" s="15"/>
      <c r="I29" s="15"/>
      <c r="J29" s="15"/>
      <c r="K29" s="17"/>
      <c r="L29" s="19"/>
      <c r="M29" s="17"/>
      <c r="N29" s="20" t="str">
        <f aca="true">IF(B29="","",IF(AND(M29&lt;&gt;"",M29&lt;TODAY()),"Quá hạn việc tiếp theo",IF(AND(K29&lt;&gt;"",TODAY()-K29&gt;30),"Hơn 30 ngày chưa liên hệ","")))</f>
        <v/>
      </c>
      <c r="O29" s="19"/>
    </row>
    <row r="30" customFormat="false" ht="15" hidden="false" customHeight="false" outlineLevel="0" collapsed="false">
      <c r="A30" s="7" t="n">
        <v>26</v>
      </c>
      <c r="B30" s="19"/>
      <c r="C30" s="15"/>
      <c r="D30" s="19"/>
      <c r="E30" s="19"/>
      <c r="F30" s="19"/>
      <c r="G30" s="19"/>
      <c r="H30" s="15"/>
      <c r="I30" s="15"/>
      <c r="J30" s="15"/>
      <c r="K30" s="17"/>
      <c r="L30" s="19"/>
      <c r="M30" s="17"/>
      <c r="N30" s="20" t="str">
        <f aca="true">IF(B30="","",IF(AND(M30&lt;&gt;"",M30&lt;TODAY()),"Quá hạn việc tiếp theo",IF(AND(K30&lt;&gt;"",TODAY()-K30&gt;30),"Hơn 30 ngày chưa liên hệ","")))</f>
        <v/>
      </c>
      <c r="O30" s="19"/>
    </row>
    <row r="31" customFormat="false" ht="15" hidden="false" customHeight="false" outlineLevel="0" collapsed="false">
      <c r="A31" s="7" t="n">
        <v>27</v>
      </c>
      <c r="B31" s="19"/>
      <c r="C31" s="15"/>
      <c r="D31" s="19"/>
      <c r="E31" s="19"/>
      <c r="F31" s="19"/>
      <c r="G31" s="19"/>
      <c r="H31" s="15"/>
      <c r="I31" s="15"/>
      <c r="J31" s="15"/>
      <c r="K31" s="17"/>
      <c r="L31" s="19"/>
      <c r="M31" s="17"/>
      <c r="N31" s="20" t="str">
        <f aca="true">IF(B31="","",IF(AND(M31&lt;&gt;"",M31&lt;TODAY()),"Quá hạn việc tiếp theo",IF(AND(K31&lt;&gt;"",TODAY()-K31&gt;30),"Hơn 30 ngày chưa liên hệ","")))</f>
        <v/>
      </c>
      <c r="O31" s="19"/>
    </row>
    <row r="32" customFormat="false" ht="15" hidden="false" customHeight="false" outlineLevel="0" collapsed="false">
      <c r="A32" s="7" t="n">
        <v>28</v>
      </c>
      <c r="B32" s="19"/>
      <c r="C32" s="15"/>
      <c r="D32" s="19"/>
      <c r="E32" s="19"/>
      <c r="F32" s="19"/>
      <c r="G32" s="19"/>
      <c r="H32" s="15"/>
      <c r="I32" s="15"/>
      <c r="J32" s="15"/>
      <c r="K32" s="17"/>
      <c r="L32" s="19"/>
      <c r="M32" s="17"/>
      <c r="N32" s="20" t="str">
        <f aca="true">IF(B32="","",IF(AND(M32&lt;&gt;"",M32&lt;TODAY()),"Quá hạn việc tiếp theo",IF(AND(K32&lt;&gt;"",TODAY()-K32&gt;30),"Hơn 30 ngày chưa liên hệ","")))</f>
        <v/>
      </c>
      <c r="O32" s="19"/>
    </row>
    <row r="33" customFormat="false" ht="15" hidden="false" customHeight="false" outlineLevel="0" collapsed="false">
      <c r="A33" s="7" t="n">
        <v>29</v>
      </c>
      <c r="B33" s="19"/>
      <c r="C33" s="15"/>
      <c r="D33" s="19"/>
      <c r="E33" s="19"/>
      <c r="F33" s="19"/>
      <c r="G33" s="19"/>
      <c r="H33" s="15"/>
      <c r="I33" s="15"/>
      <c r="J33" s="15"/>
      <c r="K33" s="17"/>
      <c r="L33" s="19"/>
      <c r="M33" s="17"/>
      <c r="N33" s="20" t="str">
        <f aca="true">IF(B33="","",IF(AND(M33&lt;&gt;"",M33&lt;TODAY()),"Quá hạn việc tiếp theo",IF(AND(K33&lt;&gt;"",TODAY()-K33&gt;30),"Hơn 30 ngày chưa liên hệ","")))</f>
        <v/>
      </c>
      <c r="O33" s="19"/>
    </row>
    <row r="34" customFormat="false" ht="15" hidden="false" customHeight="false" outlineLevel="0" collapsed="false">
      <c r="A34" s="7" t="n">
        <v>30</v>
      </c>
      <c r="B34" s="19"/>
      <c r="C34" s="15"/>
      <c r="D34" s="19"/>
      <c r="E34" s="19"/>
      <c r="F34" s="19"/>
      <c r="G34" s="19"/>
      <c r="H34" s="15"/>
      <c r="I34" s="15"/>
      <c r="J34" s="15"/>
      <c r="K34" s="17"/>
      <c r="L34" s="19"/>
      <c r="M34" s="17"/>
      <c r="N34" s="20" t="str">
        <f aca="true">IF(B34="","",IF(AND(M34&lt;&gt;"",M34&lt;TODAY()),"Quá hạn việc tiếp theo",IF(AND(K34&lt;&gt;"",TODAY()-K34&gt;30),"Hơn 30 ngày chưa liên hệ","")))</f>
        <v/>
      </c>
      <c r="O34" s="19"/>
    </row>
    <row r="35" customFormat="false" ht="15" hidden="false" customHeight="false" outlineLevel="0" collapsed="false">
      <c r="A35" s="7" t="n">
        <v>31</v>
      </c>
      <c r="B35" s="19"/>
      <c r="C35" s="15"/>
      <c r="D35" s="19"/>
      <c r="E35" s="19"/>
      <c r="F35" s="19"/>
      <c r="G35" s="19"/>
      <c r="H35" s="15"/>
      <c r="I35" s="15"/>
      <c r="J35" s="15"/>
      <c r="K35" s="17"/>
      <c r="L35" s="19"/>
      <c r="M35" s="17"/>
      <c r="N35" s="20" t="str">
        <f aca="true">IF(B35="","",IF(AND(M35&lt;&gt;"",M35&lt;TODAY()),"Quá hạn việc tiếp theo",IF(AND(K35&lt;&gt;"",TODAY()-K35&gt;30),"Hơn 30 ngày chưa liên hệ","")))</f>
        <v/>
      </c>
      <c r="O35" s="19"/>
    </row>
    <row r="36" customFormat="false" ht="15" hidden="false" customHeight="false" outlineLevel="0" collapsed="false">
      <c r="A36" s="7" t="n">
        <v>32</v>
      </c>
      <c r="B36" s="19"/>
      <c r="C36" s="15"/>
      <c r="D36" s="19"/>
      <c r="E36" s="19"/>
      <c r="F36" s="19"/>
      <c r="G36" s="19"/>
      <c r="H36" s="15"/>
      <c r="I36" s="15"/>
      <c r="J36" s="15"/>
      <c r="K36" s="17"/>
      <c r="L36" s="19"/>
      <c r="M36" s="17"/>
      <c r="N36" s="20" t="str">
        <f aca="true">IF(B36="","",IF(AND(M36&lt;&gt;"",M36&lt;TODAY()),"Quá hạn việc tiếp theo",IF(AND(K36&lt;&gt;"",TODAY()-K36&gt;30),"Hơn 30 ngày chưa liên hệ","")))</f>
        <v/>
      </c>
      <c r="O36" s="19"/>
    </row>
    <row r="37" customFormat="false" ht="15" hidden="false" customHeight="false" outlineLevel="0" collapsed="false">
      <c r="A37" s="7" t="n">
        <v>33</v>
      </c>
      <c r="B37" s="19"/>
      <c r="C37" s="15"/>
      <c r="D37" s="19"/>
      <c r="E37" s="19"/>
      <c r="F37" s="19"/>
      <c r="G37" s="19"/>
      <c r="H37" s="15"/>
      <c r="I37" s="15"/>
      <c r="J37" s="15"/>
      <c r="K37" s="17"/>
      <c r="L37" s="19"/>
      <c r="M37" s="17"/>
      <c r="N37" s="20" t="str">
        <f aca="true">IF(B37="","",IF(AND(M37&lt;&gt;"",M37&lt;TODAY()),"Quá hạn việc tiếp theo",IF(AND(K37&lt;&gt;"",TODAY()-K37&gt;30),"Hơn 30 ngày chưa liên hệ","")))</f>
        <v/>
      </c>
      <c r="O37" s="19"/>
    </row>
    <row r="38" customFormat="false" ht="15" hidden="false" customHeight="false" outlineLevel="0" collapsed="false">
      <c r="A38" s="7" t="n">
        <v>34</v>
      </c>
      <c r="B38" s="19"/>
      <c r="C38" s="15"/>
      <c r="D38" s="19"/>
      <c r="E38" s="19"/>
      <c r="F38" s="19"/>
      <c r="G38" s="19"/>
      <c r="H38" s="15"/>
      <c r="I38" s="15"/>
      <c r="J38" s="15"/>
      <c r="K38" s="17"/>
      <c r="L38" s="19"/>
      <c r="M38" s="17"/>
      <c r="N38" s="20" t="str">
        <f aca="true">IF(B38="","",IF(AND(M38&lt;&gt;"",M38&lt;TODAY()),"Quá hạn việc tiếp theo",IF(AND(K38&lt;&gt;"",TODAY()-K38&gt;30),"Hơn 30 ngày chưa liên hệ","")))</f>
        <v/>
      </c>
      <c r="O38" s="19"/>
    </row>
    <row r="39" customFormat="false" ht="15" hidden="false" customHeight="false" outlineLevel="0" collapsed="false">
      <c r="A39" s="7" t="n">
        <v>35</v>
      </c>
      <c r="B39" s="19"/>
      <c r="C39" s="15"/>
      <c r="D39" s="19"/>
      <c r="E39" s="19"/>
      <c r="F39" s="19"/>
      <c r="G39" s="19"/>
      <c r="H39" s="15"/>
      <c r="I39" s="15"/>
      <c r="J39" s="15"/>
      <c r="K39" s="17"/>
      <c r="L39" s="19"/>
      <c r="M39" s="17"/>
      <c r="N39" s="20" t="str">
        <f aca="true">IF(B39="","",IF(AND(M39&lt;&gt;"",M39&lt;TODAY()),"Quá hạn việc tiếp theo",IF(AND(K39&lt;&gt;"",TODAY()-K39&gt;30),"Hơn 30 ngày chưa liên hệ","")))</f>
        <v/>
      </c>
      <c r="O39" s="19"/>
    </row>
    <row r="40" customFormat="false" ht="15" hidden="false" customHeight="false" outlineLevel="0" collapsed="false">
      <c r="A40" s="7" t="n">
        <v>36</v>
      </c>
      <c r="B40" s="19"/>
      <c r="C40" s="15"/>
      <c r="D40" s="19"/>
      <c r="E40" s="19"/>
      <c r="F40" s="19"/>
      <c r="G40" s="19"/>
      <c r="H40" s="15"/>
      <c r="I40" s="15"/>
      <c r="J40" s="15"/>
      <c r="K40" s="17"/>
      <c r="L40" s="19"/>
      <c r="M40" s="17"/>
      <c r="N40" s="20" t="str">
        <f aca="true">IF(B40="","",IF(AND(M40&lt;&gt;"",M40&lt;TODAY()),"Quá hạn việc tiếp theo",IF(AND(K40&lt;&gt;"",TODAY()-K40&gt;30),"Hơn 30 ngày chưa liên hệ","")))</f>
        <v/>
      </c>
      <c r="O40" s="19"/>
    </row>
    <row r="41" customFormat="false" ht="15" hidden="false" customHeight="false" outlineLevel="0" collapsed="false">
      <c r="A41" s="7" t="n">
        <v>37</v>
      </c>
      <c r="B41" s="19"/>
      <c r="C41" s="15"/>
      <c r="D41" s="19"/>
      <c r="E41" s="19"/>
      <c r="F41" s="19"/>
      <c r="G41" s="19"/>
      <c r="H41" s="15"/>
      <c r="I41" s="15"/>
      <c r="J41" s="15"/>
      <c r="K41" s="17"/>
      <c r="L41" s="19"/>
      <c r="M41" s="17"/>
      <c r="N41" s="20" t="str">
        <f aca="true">IF(B41="","",IF(AND(M41&lt;&gt;"",M41&lt;TODAY()),"Quá hạn việc tiếp theo",IF(AND(K41&lt;&gt;"",TODAY()-K41&gt;30),"Hơn 30 ngày chưa liên hệ","")))</f>
        <v/>
      </c>
      <c r="O41" s="19"/>
    </row>
    <row r="42" customFormat="false" ht="15" hidden="false" customHeight="false" outlineLevel="0" collapsed="false">
      <c r="A42" s="7" t="n">
        <v>38</v>
      </c>
      <c r="B42" s="19"/>
      <c r="C42" s="15"/>
      <c r="D42" s="19"/>
      <c r="E42" s="19"/>
      <c r="F42" s="19"/>
      <c r="G42" s="19"/>
      <c r="H42" s="15"/>
      <c r="I42" s="15"/>
      <c r="J42" s="15"/>
      <c r="K42" s="17"/>
      <c r="L42" s="19"/>
      <c r="M42" s="17"/>
      <c r="N42" s="20" t="str">
        <f aca="true">IF(B42="","",IF(AND(M42&lt;&gt;"",M42&lt;TODAY()),"Quá hạn việc tiếp theo",IF(AND(K42&lt;&gt;"",TODAY()-K42&gt;30),"Hơn 30 ngày chưa liên hệ","")))</f>
        <v/>
      </c>
      <c r="O42" s="19"/>
    </row>
    <row r="43" customFormat="false" ht="15" hidden="false" customHeight="false" outlineLevel="0" collapsed="false">
      <c r="A43" s="7" t="n">
        <v>39</v>
      </c>
      <c r="B43" s="19"/>
      <c r="C43" s="15"/>
      <c r="D43" s="19"/>
      <c r="E43" s="19"/>
      <c r="F43" s="19"/>
      <c r="G43" s="19"/>
      <c r="H43" s="15"/>
      <c r="I43" s="15"/>
      <c r="J43" s="15"/>
      <c r="K43" s="17"/>
      <c r="L43" s="19"/>
      <c r="M43" s="17"/>
      <c r="N43" s="20" t="str">
        <f aca="true">IF(B43="","",IF(AND(M43&lt;&gt;"",M43&lt;TODAY()),"Quá hạn việc tiếp theo",IF(AND(K43&lt;&gt;"",TODAY()-K43&gt;30),"Hơn 30 ngày chưa liên hệ","")))</f>
        <v/>
      </c>
      <c r="O43" s="19"/>
    </row>
    <row r="44" customFormat="false" ht="15" hidden="false" customHeight="false" outlineLevel="0" collapsed="false">
      <c r="A44" s="7" t="n">
        <v>40</v>
      </c>
      <c r="B44" s="19"/>
      <c r="C44" s="15"/>
      <c r="D44" s="19"/>
      <c r="E44" s="19"/>
      <c r="F44" s="19"/>
      <c r="G44" s="19"/>
      <c r="H44" s="15"/>
      <c r="I44" s="15"/>
      <c r="J44" s="15"/>
      <c r="K44" s="17"/>
      <c r="L44" s="19"/>
      <c r="M44" s="17"/>
      <c r="N44" s="20" t="str">
        <f aca="true">IF(B44="","",IF(AND(M44&lt;&gt;"",M44&lt;TODAY()),"Quá hạn việc tiếp theo",IF(AND(K44&lt;&gt;"",TODAY()-K44&gt;30),"Hơn 30 ngày chưa liên hệ","")))</f>
        <v/>
      </c>
      <c r="O44" s="19"/>
    </row>
    <row r="45" customFormat="false" ht="15" hidden="false" customHeight="false" outlineLevel="0" collapsed="false">
      <c r="A45" s="7" t="n">
        <v>41</v>
      </c>
      <c r="B45" s="19"/>
      <c r="C45" s="15"/>
      <c r="D45" s="19"/>
      <c r="E45" s="19"/>
      <c r="F45" s="19"/>
      <c r="G45" s="19"/>
      <c r="H45" s="15"/>
      <c r="I45" s="15"/>
      <c r="J45" s="15"/>
      <c r="K45" s="17"/>
      <c r="L45" s="19"/>
      <c r="M45" s="17"/>
      <c r="N45" s="20" t="str">
        <f aca="true">IF(B45="","",IF(AND(M45&lt;&gt;"",M45&lt;TODAY()),"Quá hạn việc tiếp theo",IF(AND(K45&lt;&gt;"",TODAY()-K45&gt;30),"Hơn 30 ngày chưa liên hệ","")))</f>
        <v/>
      </c>
      <c r="O45" s="19"/>
    </row>
    <row r="46" customFormat="false" ht="15" hidden="false" customHeight="false" outlineLevel="0" collapsed="false">
      <c r="A46" s="7" t="n">
        <v>42</v>
      </c>
      <c r="B46" s="19"/>
      <c r="C46" s="15"/>
      <c r="D46" s="19"/>
      <c r="E46" s="19"/>
      <c r="F46" s="19"/>
      <c r="G46" s="19"/>
      <c r="H46" s="15"/>
      <c r="I46" s="15"/>
      <c r="J46" s="15"/>
      <c r="K46" s="17"/>
      <c r="L46" s="19"/>
      <c r="M46" s="17"/>
      <c r="N46" s="20" t="str">
        <f aca="true">IF(B46="","",IF(AND(M46&lt;&gt;"",M46&lt;TODAY()),"Quá hạn việc tiếp theo",IF(AND(K46&lt;&gt;"",TODAY()-K46&gt;30),"Hơn 30 ngày chưa liên hệ","")))</f>
        <v/>
      </c>
      <c r="O46" s="19"/>
    </row>
    <row r="47" customFormat="false" ht="15" hidden="false" customHeight="false" outlineLevel="0" collapsed="false">
      <c r="A47" s="7" t="n">
        <v>43</v>
      </c>
      <c r="B47" s="19"/>
      <c r="C47" s="15"/>
      <c r="D47" s="19"/>
      <c r="E47" s="19"/>
      <c r="F47" s="19"/>
      <c r="G47" s="19"/>
      <c r="H47" s="15"/>
      <c r="I47" s="15"/>
      <c r="J47" s="15"/>
      <c r="K47" s="17"/>
      <c r="L47" s="19"/>
      <c r="M47" s="17"/>
      <c r="N47" s="20" t="str">
        <f aca="true">IF(B47="","",IF(AND(M47&lt;&gt;"",M47&lt;TODAY()),"Quá hạn việc tiếp theo",IF(AND(K47&lt;&gt;"",TODAY()-K47&gt;30),"Hơn 30 ngày chưa liên hệ","")))</f>
        <v/>
      </c>
      <c r="O47" s="19"/>
    </row>
    <row r="48" customFormat="false" ht="15" hidden="false" customHeight="false" outlineLevel="0" collapsed="false">
      <c r="A48" s="7" t="n">
        <v>44</v>
      </c>
      <c r="B48" s="19"/>
      <c r="C48" s="15"/>
      <c r="D48" s="19"/>
      <c r="E48" s="19"/>
      <c r="F48" s="19"/>
      <c r="G48" s="19"/>
      <c r="H48" s="15"/>
      <c r="I48" s="15"/>
      <c r="J48" s="15"/>
      <c r="K48" s="17"/>
      <c r="L48" s="19"/>
      <c r="M48" s="17"/>
      <c r="N48" s="20" t="str">
        <f aca="true">IF(B48="","",IF(AND(M48&lt;&gt;"",M48&lt;TODAY()),"Quá hạn việc tiếp theo",IF(AND(K48&lt;&gt;"",TODAY()-K48&gt;30),"Hơn 30 ngày chưa liên hệ","")))</f>
        <v/>
      </c>
      <c r="O48" s="19"/>
    </row>
    <row r="49" customFormat="false" ht="15" hidden="false" customHeight="false" outlineLevel="0" collapsed="false">
      <c r="A49" s="7" t="n">
        <v>45</v>
      </c>
      <c r="B49" s="19"/>
      <c r="C49" s="15"/>
      <c r="D49" s="19"/>
      <c r="E49" s="19"/>
      <c r="F49" s="19"/>
      <c r="G49" s="19"/>
      <c r="H49" s="15"/>
      <c r="I49" s="15"/>
      <c r="J49" s="15"/>
      <c r="K49" s="17"/>
      <c r="L49" s="19"/>
      <c r="M49" s="17"/>
      <c r="N49" s="20" t="str">
        <f aca="true">IF(B49="","",IF(AND(M49&lt;&gt;"",M49&lt;TODAY()),"Quá hạn việc tiếp theo",IF(AND(K49&lt;&gt;"",TODAY()-K49&gt;30),"Hơn 30 ngày chưa liên hệ","")))</f>
        <v/>
      </c>
      <c r="O49" s="19"/>
    </row>
    <row r="50" customFormat="false" ht="15" hidden="false" customHeight="false" outlineLevel="0" collapsed="false">
      <c r="A50" s="7" t="n">
        <v>46</v>
      </c>
      <c r="B50" s="19"/>
      <c r="C50" s="15"/>
      <c r="D50" s="19"/>
      <c r="E50" s="19"/>
      <c r="F50" s="19"/>
      <c r="G50" s="19"/>
      <c r="H50" s="15"/>
      <c r="I50" s="15"/>
      <c r="J50" s="15"/>
      <c r="K50" s="17"/>
      <c r="L50" s="19"/>
      <c r="M50" s="17"/>
      <c r="N50" s="20" t="str">
        <f aca="true">IF(B50="","",IF(AND(M50&lt;&gt;"",M50&lt;TODAY()),"Quá hạn việc tiếp theo",IF(AND(K50&lt;&gt;"",TODAY()-K50&gt;30),"Hơn 30 ngày chưa liên hệ","")))</f>
        <v/>
      </c>
      <c r="O50" s="19"/>
    </row>
    <row r="51" customFormat="false" ht="15" hidden="false" customHeight="false" outlineLevel="0" collapsed="false">
      <c r="A51" s="7" t="n">
        <v>47</v>
      </c>
      <c r="B51" s="19"/>
      <c r="C51" s="15"/>
      <c r="D51" s="19"/>
      <c r="E51" s="19"/>
      <c r="F51" s="19"/>
      <c r="G51" s="19"/>
      <c r="H51" s="15"/>
      <c r="I51" s="15"/>
      <c r="J51" s="15"/>
      <c r="K51" s="17"/>
      <c r="L51" s="19"/>
      <c r="M51" s="17"/>
      <c r="N51" s="20" t="str">
        <f aca="true">IF(B51="","",IF(AND(M51&lt;&gt;"",M51&lt;TODAY()),"Quá hạn việc tiếp theo",IF(AND(K51&lt;&gt;"",TODAY()-K51&gt;30),"Hơn 30 ngày chưa liên hệ","")))</f>
        <v/>
      </c>
      <c r="O51" s="19"/>
    </row>
    <row r="52" customFormat="false" ht="15" hidden="false" customHeight="false" outlineLevel="0" collapsed="false">
      <c r="A52" s="7" t="n">
        <v>48</v>
      </c>
      <c r="B52" s="19"/>
      <c r="C52" s="15"/>
      <c r="D52" s="19"/>
      <c r="E52" s="19"/>
      <c r="F52" s="19"/>
      <c r="G52" s="19"/>
      <c r="H52" s="15"/>
      <c r="I52" s="15"/>
      <c r="J52" s="15"/>
      <c r="K52" s="17"/>
      <c r="L52" s="19"/>
      <c r="M52" s="17"/>
      <c r="N52" s="20" t="str">
        <f aca="true">IF(B52="","",IF(AND(M52&lt;&gt;"",M52&lt;TODAY()),"Quá hạn việc tiếp theo",IF(AND(K52&lt;&gt;"",TODAY()-K52&gt;30),"Hơn 30 ngày chưa liên hệ","")))</f>
        <v/>
      </c>
      <c r="O52" s="19"/>
    </row>
    <row r="53" customFormat="false" ht="15" hidden="false" customHeight="false" outlineLevel="0" collapsed="false">
      <c r="A53" s="7" t="n">
        <v>49</v>
      </c>
      <c r="B53" s="19"/>
      <c r="C53" s="15"/>
      <c r="D53" s="19"/>
      <c r="E53" s="19"/>
      <c r="F53" s="19"/>
      <c r="G53" s="19"/>
      <c r="H53" s="15"/>
      <c r="I53" s="15"/>
      <c r="J53" s="15"/>
      <c r="K53" s="17"/>
      <c r="L53" s="19"/>
      <c r="M53" s="17"/>
      <c r="N53" s="20" t="str">
        <f aca="true">IF(B53="","",IF(AND(M53&lt;&gt;"",M53&lt;TODAY()),"Quá hạn việc tiếp theo",IF(AND(K53&lt;&gt;"",TODAY()-K53&gt;30),"Hơn 30 ngày chưa liên hệ","")))</f>
        <v/>
      </c>
      <c r="O53" s="19"/>
    </row>
    <row r="54" customFormat="false" ht="15" hidden="false" customHeight="false" outlineLevel="0" collapsed="false">
      <c r="A54" s="7" t="n">
        <v>50</v>
      </c>
      <c r="B54" s="19"/>
      <c r="C54" s="15"/>
      <c r="D54" s="19"/>
      <c r="E54" s="19"/>
      <c r="F54" s="19"/>
      <c r="G54" s="19"/>
      <c r="H54" s="15"/>
      <c r="I54" s="15"/>
      <c r="J54" s="15"/>
      <c r="K54" s="17"/>
      <c r="L54" s="19"/>
      <c r="M54" s="17"/>
      <c r="N54" s="20" t="str">
        <f aca="true">IF(B54="","",IF(AND(M54&lt;&gt;"",M54&lt;TODAY()),"Quá hạn việc tiếp theo",IF(AND(K54&lt;&gt;"",TODAY()-K54&gt;30),"Hơn 30 ngày chưa liên hệ","")))</f>
        <v/>
      </c>
      <c r="O54" s="19"/>
    </row>
    <row r="55" customFormat="false" ht="15" hidden="false" customHeight="false" outlineLevel="0" collapsed="false">
      <c r="A55" s="7" t="n">
        <v>51</v>
      </c>
      <c r="B55" s="19"/>
      <c r="C55" s="15"/>
      <c r="D55" s="19"/>
      <c r="E55" s="19"/>
      <c r="F55" s="19"/>
      <c r="G55" s="19"/>
      <c r="H55" s="15"/>
      <c r="I55" s="15"/>
      <c r="J55" s="15"/>
      <c r="K55" s="17"/>
      <c r="L55" s="19"/>
      <c r="M55" s="17"/>
      <c r="N55" s="20" t="str">
        <f aca="true">IF(B55="","",IF(AND(M55&lt;&gt;"",M55&lt;TODAY()),"Quá hạn việc tiếp theo",IF(AND(K55&lt;&gt;"",TODAY()-K55&gt;30),"Hơn 30 ngày chưa liên hệ","")))</f>
        <v/>
      </c>
      <c r="O55" s="19"/>
    </row>
    <row r="56" customFormat="false" ht="15" hidden="false" customHeight="false" outlineLevel="0" collapsed="false">
      <c r="A56" s="7" t="n">
        <v>52</v>
      </c>
      <c r="B56" s="19"/>
      <c r="C56" s="15"/>
      <c r="D56" s="19"/>
      <c r="E56" s="19"/>
      <c r="F56" s="19"/>
      <c r="G56" s="19"/>
      <c r="H56" s="15"/>
      <c r="I56" s="15"/>
      <c r="J56" s="15"/>
      <c r="K56" s="17"/>
      <c r="L56" s="19"/>
      <c r="M56" s="17"/>
      <c r="N56" s="20" t="str">
        <f aca="true">IF(B56="","",IF(AND(M56&lt;&gt;"",M56&lt;TODAY()),"Quá hạn việc tiếp theo",IF(AND(K56&lt;&gt;"",TODAY()-K56&gt;30),"Hơn 30 ngày chưa liên hệ","")))</f>
        <v/>
      </c>
      <c r="O56" s="19"/>
    </row>
    <row r="57" customFormat="false" ht="15" hidden="false" customHeight="false" outlineLevel="0" collapsed="false">
      <c r="A57" s="7" t="n">
        <v>53</v>
      </c>
      <c r="B57" s="19"/>
      <c r="C57" s="15"/>
      <c r="D57" s="19"/>
      <c r="E57" s="19"/>
      <c r="F57" s="19"/>
      <c r="G57" s="19"/>
      <c r="H57" s="15"/>
      <c r="I57" s="15"/>
      <c r="J57" s="15"/>
      <c r="K57" s="17"/>
      <c r="L57" s="19"/>
      <c r="M57" s="17"/>
      <c r="N57" s="20" t="str">
        <f aca="true">IF(B57="","",IF(AND(M57&lt;&gt;"",M57&lt;TODAY()),"Quá hạn việc tiếp theo",IF(AND(K57&lt;&gt;"",TODAY()-K57&gt;30),"Hơn 30 ngày chưa liên hệ","")))</f>
        <v/>
      </c>
      <c r="O57" s="19"/>
    </row>
    <row r="58" customFormat="false" ht="15" hidden="false" customHeight="false" outlineLevel="0" collapsed="false">
      <c r="A58" s="7" t="n">
        <v>54</v>
      </c>
      <c r="B58" s="19"/>
      <c r="C58" s="15"/>
      <c r="D58" s="19"/>
      <c r="E58" s="19"/>
      <c r="F58" s="19"/>
      <c r="G58" s="19"/>
      <c r="H58" s="15"/>
      <c r="I58" s="15"/>
      <c r="J58" s="15"/>
      <c r="K58" s="17"/>
      <c r="L58" s="19"/>
      <c r="M58" s="17"/>
      <c r="N58" s="20" t="str">
        <f aca="true">IF(B58="","",IF(AND(M58&lt;&gt;"",M58&lt;TODAY()),"Quá hạn việc tiếp theo",IF(AND(K58&lt;&gt;"",TODAY()-K58&gt;30),"Hơn 30 ngày chưa liên hệ","")))</f>
        <v/>
      </c>
      <c r="O58" s="19"/>
    </row>
    <row r="59" customFormat="false" ht="15" hidden="false" customHeight="false" outlineLevel="0" collapsed="false">
      <c r="A59" s="7" t="n">
        <v>55</v>
      </c>
      <c r="B59" s="19"/>
      <c r="C59" s="15"/>
      <c r="D59" s="19"/>
      <c r="E59" s="19"/>
      <c r="F59" s="19"/>
      <c r="G59" s="19"/>
      <c r="H59" s="15"/>
      <c r="I59" s="15"/>
      <c r="J59" s="15"/>
      <c r="K59" s="17"/>
      <c r="L59" s="19"/>
      <c r="M59" s="17"/>
      <c r="N59" s="20" t="str">
        <f aca="true">IF(B59="","",IF(AND(M59&lt;&gt;"",M59&lt;TODAY()),"Quá hạn việc tiếp theo",IF(AND(K59&lt;&gt;"",TODAY()-K59&gt;30),"Hơn 30 ngày chưa liên hệ","")))</f>
        <v/>
      </c>
      <c r="O59" s="19"/>
    </row>
    <row r="60" customFormat="false" ht="15" hidden="false" customHeight="false" outlineLevel="0" collapsed="false">
      <c r="A60" s="7" t="n">
        <v>56</v>
      </c>
      <c r="B60" s="19"/>
      <c r="C60" s="15"/>
      <c r="D60" s="19"/>
      <c r="E60" s="19"/>
      <c r="F60" s="19"/>
      <c r="G60" s="19"/>
      <c r="H60" s="15"/>
      <c r="I60" s="15"/>
      <c r="J60" s="15"/>
      <c r="K60" s="17"/>
      <c r="L60" s="19"/>
      <c r="M60" s="17"/>
      <c r="N60" s="20" t="str">
        <f aca="true">IF(B60="","",IF(AND(M60&lt;&gt;"",M60&lt;TODAY()),"Quá hạn việc tiếp theo",IF(AND(K60&lt;&gt;"",TODAY()-K60&gt;30),"Hơn 30 ngày chưa liên hệ","")))</f>
        <v/>
      </c>
      <c r="O60" s="19"/>
    </row>
    <row r="61" customFormat="false" ht="15" hidden="false" customHeight="false" outlineLevel="0" collapsed="false">
      <c r="A61" s="7" t="n">
        <v>57</v>
      </c>
      <c r="B61" s="19"/>
      <c r="C61" s="15"/>
      <c r="D61" s="19"/>
      <c r="E61" s="19"/>
      <c r="F61" s="19"/>
      <c r="G61" s="19"/>
      <c r="H61" s="15"/>
      <c r="I61" s="15"/>
      <c r="J61" s="15"/>
      <c r="K61" s="17"/>
      <c r="L61" s="19"/>
      <c r="M61" s="17"/>
      <c r="N61" s="20" t="str">
        <f aca="true">IF(B61="","",IF(AND(M61&lt;&gt;"",M61&lt;TODAY()),"Quá hạn việc tiếp theo",IF(AND(K61&lt;&gt;"",TODAY()-K61&gt;30),"Hơn 30 ngày chưa liên hệ","")))</f>
        <v/>
      </c>
      <c r="O61" s="19"/>
    </row>
    <row r="62" customFormat="false" ht="15" hidden="false" customHeight="false" outlineLevel="0" collapsed="false">
      <c r="A62" s="7" t="n">
        <v>58</v>
      </c>
      <c r="B62" s="19"/>
      <c r="C62" s="15"/>
      <c r="D62" s="19"/>
      <c r="E62" s="19"/>
      <c r="F62" s="19"/>
      <c r="G62" s="19"/>
      <c r="H62" s="15"/>
      <c r="I62" s="15"/>
      <c r="J62" s="15"/>
      <c r="K62" s="17"/>
      <c r="L62" s="19"/>
      <c r="M62" s="17"/>
      <c r="N62" s="20" t="str">
        <f aca="true">IF(B62="","",IF(AND(M62&lt;&gt;"",M62&lt;TODAY()),"Quá hạn việc tiếp theo",IF(AND(K62&lt;&gt;"",TODAY()-K62&gt;30),"Hơn 30 ngày chưa liên hệ","")))</f>
        <v/>
      </c>
      <c r="O62" s="19"/>
    </row>
    <row r="63" customFormat="false" ht="15" hidden="false" customHeight="false" outlineLevel="0" collapsed="false">
      <c r="A63" s="7" t="n">
        <v>59</v>
      </c>
      <c r="B63" s="19"/>
      <c r="C63" s="15"/>
      <c r="D63" s="19"/>
      <c r="E63" s="19"/>
      <c r="F63" s="19"/>
      <c r="G63" s="19"/>
      <c r="H63" s="15"/>
      <c r="I63" s="15"/>
      <c r="J63" s="15"/>
      <c r="K63" s="17"/>
      <c r="L63" s="19"/>
      <c r="M63" s="17"/>
      <c r="N63" s="20" t="str">
        <f aca="true">IF(B63="","",IF(AND(M63&lt;&gt;"",M63&lt;TODAY()),"Quá hạn việc tiếp theo",IF(AND(K63&lt;&gt;"",TODAY()-K63&gt;30),"Hơn 30 ngày chưa liên hệ","")))</f>
        <v/>
      </c>
      <c r="O63" s="19"/>
    </row>
    <row r="64" customFormat="false" ht="15" hidden="false" customHeight="false" outlineLevel="0" collapsed="false">
      <c r="A64" s="7" t="n">
        <v>60</v>
      </c>
      <c r="B64" s="19"/>
      <c r="C64" s="15"/>
      <c r="D64" s="19"/>
      <c r="E64" s="19"/>
      <c r="F64" s="19"/>
      <c r="G64" s="19"/>
      <c r="H64" s="15"/>
      <c r="I64" s="15"/>
      <c r="J64" s="15"/>
      <c r="K64" s="17"/>
      <c r="L64" s="19"/>
      <c r="M64" s="17"/>
      <c r="N64" s="20" t="str">
        <f aca="true">IF(B64="","",IF(AND(M64&lt;&gt;"",M64&lt;TODAY()),"Quá hạn việc tiếp theo",IF(AND(K64&lt;&gt;"",TODAY()-K64&gt;30),"Hơn 30 ngày chưa liên hệ","")))</f>
        <v/>
      </c>
      <c r="O64" s="19"/>
    </row>
    <row r="65" customFormat="false" ht="15" hidden="false" customHeight="false" outlineLevel="0" collapsed="false">
      <c r="A65" s="7" t="n">
        <v>61</v>
      </c>
      <c r="B65" s="19"/>
      <c r="C65" s="15"/>
      <c r="D65" s="19"/>
      <c r="E65" s="19"/>
      <c r="F65" s="19"/>
      <c r="G65" s="19"/>
      <c r="H65" s="15"/>
      <c r="I65" s="15"/>
      <c r="J65" s="15"/>
      <c r="K65" s="17"/>
      <c r="L65" s="19"/>
      <c r="M65" s="17"/>
      <c r="N65" s="20" t="str">
        <f aca="true">IF(B65="","",IF(AND(M65&lt;&gt;"",M65&lt;TODAY()),"Quá hạn việc tiếp theo",IF(AND(K65&lt;&gt;"",TODAY()-K65&gt;30),"Hơn 30 ngày chưa liên hệ","")))</f>
        <v/>
      </c>
      <c r="O65" s="19"/>
    </row>
    <row r="66" customFormat="false" ht="15" hidden="false" customHeight="false" outlineLevel="0" collapsed="false">
      <c r="A66" s="7" t="n">
        <v>62</v>
      </c>
      <c r="B66" s="19"/>
      <c r="C66" s="15"/>
      <c r="D66" s="19"/>
      <c r="E66" s="19"/>
      <c r="F66" s="19"/>
      <c r="G66" s="19"/>
      <c r="H66" s="15"/>
      <c r="I66" s="15"/>
      <c r="J66" s="15"/>
      <c r="K66" s="17"/>
      <c r="L66" s="19"/>
      <c r="M66" s="17"/>
      <c r="N66" s="20" t="str">
        <f aca="true">IF(B66="","",IF(AND(M66&lt;&gt;"",M66&lt;TODAY()),"Quá hạn việc tiếp theo",IF(AND(K66&lt;&gt;"",TODAY()-K66&gt;30),"Hơn 30 ngày chưa liên hệ","")))</f>
        <v/>
      </c>
      <c r="O66" s="19"/>
    </row>
    <row r="67" customFormat="false" ht="15" hidden="false" customHeight="false" outlineLevel="0" collapsed="false">
      <c r="A67" s="7" t="n">
        <v>63</v>
      </c>
      <c r="B67" s="19"/>
      <c r="C67" s="15"/>
      <c r="D67" s="19"/>
      <c r="E67" s="19"/>
      <c r="F67" s="19"/>
      <c r="G67" s="19"/>
      <c r="H67" s="15"/>
      <c r="I67" s="15"/>
      <c r="J67" s="15"/>
      <c r="K67" s="17"/>
      <c r="L67" s="19"/>
      <c r="M67" s="17"/>
      <c r="N67" s="20" t="str">
        <f aca="true">IF(B67="","",IF(AND(M67&lt;&gt;"",M67&lt;TODAY()),"Quá hạn việc tiếp theo",IF(AND(K67&lt;&gt;"",TODAY()-K67&gt;30),"Hơn 30 ngày chưa liên hệ","")))</f>
        <v/>
      </c>
      <c r="O67" s="19"/>
    </row>
    <row r="68" customFormat="false" ht="15" hidden="false" customHeight="false" outlineLevel="0" collapsed="false">
      <c r="A68" s="7" t="n">
        <v>64</v>
      </c>
      <c r="B68" s="19"/>
      <c r="C68" s="15"/>
      <c r="D68" s="19"/>
      <c r="E68" s="19"/>
      <c r="F68" s="19"/>
      <c r="G68" s="19"/>
      <c r="H68" s="15"/>
      <c r="I68" s="15"/>
      <c r="J68" s="15"/>
      <c r="K68" s="17"/>
      <c r="L68" s="19"/>
      <c r="M68" s="17"/>
      <c r="N68" s="20" t="str">
        <f aca="true">IF(B68="","",IF(AND(M68&lt;&gt;"",M68&lt;TODAY()),"Quá hạn việc tiếp theo",IF(AND(K68&lt;&gt;"",TODAY()-K68&gt;30),"Hơn 30 ngày chưa liên hệ","")))</f>
        <v/>
      </c>
      <c r="O68" s="19"/>
    </row>
    <row r="69" customFormat="false" ht="15" hidden="false" customHeight="false" outlineLevel="0" collapsed="false">
      <c r="A69" s="7" t="n">
        <v>65</v>
      </c>
      <c r="B69" s="19"/>
      <c r="C69" s="15"/>
      <c r="D69" s="19"/>
      <c r="E69" s="19"/>
      <c r="F69" s="19"/>
      <c r="G69" s="19"/>
      <c r="H69" s="15"/>
      <c r="I69" s="15"/>
      <c r="J69" s="15"/>
      <c r="K69" s="17"/>
      <c r="L69" s="19"/>
      <c r="M69" s="17"/>
      <c r="N69" s="20" t="str">
        <f aca="true">IF(B69="","",IF(AND(M69&lt;&gt;"",M69&lt;TODAY()),"Quá hạn việc tiếp theo",IF(AND(K69&lt;&gt;"",TODAY()-K69&gt;30),"Hơn 30 ngày chưa liên hệ","")))</f>
        <v/>
      </c>
      <c r="O69" s="19"/>
    </row>
    <row r="70" customFormat="false" ht="15" hidden="false" customHeight="false" outlineLevel="0" collapsed="false">
      <c r="A70" s="7" t="n">
        <v>66</v>
      </c>
      <c r="B70" s="19"/>
      <c r="C70" s="15"/>
      <c r="D70" s="19"/>
      <c r="E70" s="19"/>
      <c r="F70" s="19"/>
      <c r="G70" s="19"/>
      <c r="H70" s="15"/>
      <c r="I70" s="15"/>
      <c r="J70" s="15"/>
      <c r="K70" s="17"/>
      <c r="L70" s="19"/>
      <c r="M70" s="17"/>
      <c r="N70" s="20" t="str">
        <f aca="true">IF(B70="","",IF(AND(M70&lt;&gt;"",M70&lt;TODAY()),"Quá hạn việc tiếp theo",IF(AND(K70&lt;&gt;"",TODAY()-K70&gt;30),"Hơn 30 ngày chưa liên hệ","")))</f>
        <v/>
      </c>
      <c r="O70" s="19"/>
    </row>
    <row r="71" customFormat="false" ht="15" hidden="false" customHeight="false" outlineLevel="0" collapsed="false">
      <c r="A71" s="7" t="n">
        <v>67</v>
      </c>
      <c r="B71" s="19"/>
      <c r="C71" s="15"/>
      <c r="D71" s="19"/>
      <c r="E71" s="19"/>
      <c r="F71" s="19"/>
      <c r="G71" s="19"/>
      <c r="H71" s="15"/>
      <c r="I71" s="15"/>
      <c r="J71" s="15"/>
      <c r="K71" s="17"/>
      <c r="L71" s="19"/>
      <c r="M71" s="17"/>
      <c r="N71" s="20" t="str">
        <f aca="true">IF(B71="","",IF(AND(M71&lt;&gt;"",M71&lt;TODAY()),"Quá hạn việc tiếp theo",IF(AND(K71&lt;&gt;"",TODAY()-K71&gt;30),"Hơn 30 ngày chưa liên hệ","")))</f>
        <v/>
      </c>
      <c r="O71" s="19"/>
    </row>
    <row r="72" customFormat="false" ht="15" hidden="false" customHeight="false" outlineLevel="0" collapsed="false">
      <c r="A72" s="7" t="n">
        <v>68</v>
      </c>
      <c r="B72" s="19"/>
      <c r="C72" s="15"/>
      <c r="D72" s="19"/>
      <c r="E72" s="19"/>
      <c r="F72" s="19"/>
      <c r="G72" s="19"/>
      <c r="H72" s="15"/>
      <c r="I72" s="15"/>
      <c r="J72" s="15"/>
      <c r="K72" s="17"/>
      <c r="L72" s="19"/>
      <c r="M72" s="17"/>
      <c r="N72" s="20" t="str">
        <f aca="true">IF(B72="","",IF(AND(M72&lt;&gt;"",M72&lt;TODAY()),"Quá hạn việc tiếp theo",IF(AND(K72&lt;&gt;"",TODAY()-K72&gt;30),"Hơn 30 ngày chưa liên hệ","")))</f>
        <v/>
      </c>
      <c r="O72" s="19"/>
    </row>
    <row r="73" customFormat="false" ht="15" hidden="false" customHeight="false" outlineLevel="0" collapsed="false">
      <c r="A73" s="7" t="n">
        <v>69</v>
      </c>
      <c r="B73" s="19"/>
      <c r="C73" s="15"/>
      <c r="D73" s="19"/>
      <c r="E73" s="19"/>
      <c r="F73" s="19"/>
      <c r="G73" s="19"/>
      <c r="H73" s="15"/>
      <c r="I73" s="15"/>
      <c r="J73" s="15"/>
      <c r="K73" s="17"/>
      <c r="L73" s="19"/>
      <c r="M73" s="17"/>
      <c r="N73" s="20" t="str">
        <f aca="true">IF(B73="","",IF(AND(M73&lt;&gt;"",M73&lt;TODAY()),"Quá hạn việc tiếp theo",IF(AND(K73&lt;&gt;"",TODAY()-K73&gt;30),"Hơn 30 ngày chưa liên hệ","")))</f>
        <v/>
      </c>
      <c r="O73" s="19"/>
    </row>
    <row r="74" customFormat="false" ht="15" hidden="false" customHeight="false" outlineLevel="0" collapsed="false">
      <c r="A74" s="7" t="n">
        <v>70</v>
      </c>
      <c r="B74" s="19"/>
      <c r="C74" s="15"/>
      <c r="D74" s="19"/>
      <c r="E74" s="19"/>
      <c r="F74" s="19"/>
      <c r="G74" s="19"/>
      <c r="H74" s="15"/>
      <c r="I74" s="15"/>
      <c r="J74" s="15"/>
      <c r="K74" s="17"/>
      <c r="L74" s="19"/>
      <c r="M74" s="17"/>
      <c r="N74" s="20" t="str">
        <f aca="true">IF(B74="","",IF(AND(M74&lt;&gt;"",M74&lt;TODAY()),"Quá hạn việc tiếp theo",IF(AND(K74&lt;&gt;"",TODAY()-K74&gt;30),"Hơn 30 ngày chưa liên hệ","")))</f>
        <v/>
      </c>
      <c r="O74" s="19"/>
    </row>
    <row r="75" customFormat="false" ht="15" hidden="false" customHeight="false" outlineLevel="0" collapsed="false">
      <c r="A75" s="7" t="n">
        <v>71</v>
      </c>
      <c r="B75" s="19"/>
      <c r="C75" s="15"/>
      <c r="D75" s="19"/>
      <c r="E75" s="19"/>
      <c r="F75" s="19"/>
      <c r="G75" s="19"/>
      <c r="H75" s="15"/>
      <c r="I75" s="15"/>
      <c r="J75" s="15"/>
      <c r="K75" s="17"/>
      <c r="L75" s="19"/>
      <c r="M75" s="17"/>
      <c r="N75" s="20" t="str">
        <f aca="true">IF(B75="","",IF(AND(M75&lt;&gt;"",M75&lt;TODAY()),"Quá hạn việc tiếp theo",IF(AND(K75&lt;&gt;"",TODAY()-K75&gt;30),"Hơn 30 ngày chưa liên hệ","")))</f>
        <v/>
      </c>
      <c r="O75" s="19"/>
    </row>
    <row r="76" customFormat="false" ht="15" hidden="false" customHeight="false" outlineLevel="0" collapsed="false">
      <c r="A76" s="7" t="n">
        <v>72</v>
      </c>
      <c r="B76" s="19"/>
      <c r="C76" s="15"/>
      <c r="D76" s="19"/>
      <c r="E76" s="19"/>
      <c r="F76" s="19"/>
      <c r="G76" s="19"/>
      <c r="H76" s="15"/>
      <c r="I76" s="15"/>
      <c r="J76" s="15"/>
      <c r="K76" s="17"/>
      <c r="L76" s="19"/>
      <c r="M76" s="17"/>
      <c r="N76" s="20" t="str">
        <f aca="true">IF(B76="","",IF(AND(M76&lt;&gt;"",M76&lt;TODAY()),"Quá hạn việc tiếp theo",IF(AND(K76&lt;&gt;"",TODAY()-K76&gt;30),"Hơn 30 ngày chưa liên hệ","")))</f>
        <v/>
      </c>
      <c r="O76" s="19"/>
    </row>
    <row r="77" customFormat="false" ht="15" hidden="false" customHeight="false" outlineLevel="0" collapsed="false">
      <c r="A77" s="7" t="n">
        <v>73</v>
      </c>
      <c r="B77" s="19"/>
      <c r="C77" s="15"/>
      <c r="D77" s="19"/>
      <c r="E77" s="19"/>
      <c r="F77" s="19"/>
      <c r="G77" s="19"/>
      <c r="H77" s="15"/>
      <c r="I77" s="15"/>
      <c r="J77" s="15"/>
      <c r="K77" s="17"/>
      <c r="L77" s="19"/>
      <c r="M77" s="17"/>
      <c r="N77" s="20" t="str">
        <f aca="true">IF(B77="","",IF(AND(M77&lt;&gt;"",M77&lt;TODAY()),"Quá hạn việc tiếp theo",IF(AND(K77&lt;&gt;"",TODAY()-K77&gt;30),"Hơn 30 ngày chưa liên hệ","")))</f>
        <v/>
      </c>
      <c r="O77" s="19"/>
    </row>
    <row r="78" customFormat="false" ht="15" hidden="false" customHeight="false" outlineLevel="0" collapsed="false">
      <c r="A78" s="7" t="n">
        <v>74</v>
      </c>
      <c r="B78" s="19"/>
      <c r="C78" s="15"/>
      <c r="D78" s="19"/>
      <c r="E78" s="19"/>
      <c r="F78" s="19"/>
      <c r="G78" s="19"/>
      <c r="H78" s="15"/>
      <c r="I78" s="15"/>
      <c r="J78" s="15"/>
      <c r="K78" s="17"/>
      <c r="L78" s="19"/>
      <c r="M78" s="17"/>
      <c r="N78" s="20" t="str">
        <f aca="true">IF(B78="","",IF(AND(M78&lt;&gt;"",M78&lt;TODAY()),"Quá hạn việc tiếp theo",IF(AND(K78&lt;&gt;"",TODAY()-K78&gt;30),"Hơn 30 ngày chưa liên hệ","")))</f>
        <v/>
      </c>
      <c r="O78" s="19"/>
    </row>
    <row r="79" customFormat="false" ht="15" hidden="false" customHeight="false" outlineLevel="0" collapsed="false">
      <c r="A79" s="7" t="n">
        <v>75</v>
      </c>
      <c r="B79" s="19"/>
      <c r="C79" s="15"/>
      <c r="D79" s="19"/>
      <c r="E79" s="19"/>
      <c r="F79" s="19"/>
      <c r="G79" s="19"/>
      <c r="H79" s="15"/>
      <c r="I79" s="15"/>
      <c r="J79" s="15"/>
      <c r="K79" s="17"/>
      <c r="L79" s="19"/>
      <c r="M79" s="17"/>
      <c r="N79" s="20" t="str">
        <f aca="true">IF(B79="","",IF(AND(M79&lt;&gt;"",M79&lt;TODAY()),"Quá hạn việc tiếp theo",IF(AND(K79&lt;&gt;"",TODAY()-K79&gt;30),"Hơn 30 ngày chưa liên hệ","")))</f>
        <v/>
      </c>
      <c r="O79" s="19"/>
    </row>
    <row r="80" customFormat="false" ht="15" hidden="false" customHeight="false" outlineLevel="0" collapsed="false">
      <c r="A80" s="7" t="n">
        <v>76</v>
      </c>
      <c r="B80" s="19"/>
      <c r="C80" s="15"/>
      <c r="D80" s="19"/>
      <c r="E80" s="19"/>
      <c r="F80" s="19"/>
      <c r="G80" s="19"/>
      <c r="H80" s="15"/>
      <c r="I80" s="15"/>
      <c r="J80" s="15"/>
      <c r="K80" s="17"/>
      <c r="L80" s="19"/>
      <c r="M80" s="17"/>
      <c r="N80" s="20" t="str">
        <f aca="true">IF(B80="","",IF(AND(M80&lt;&gt;"",M80&lt;TODAY()),"Quá hạn việc tiếp theo",IF(AND(K80&lt;&gt;"",TODAY()-K80&gt;30),"Hơn 30 ngày chưa liên hệ","")))</f>
        <v/>
      </c>
      <c r="O80" s="19"/>
    </row>
    <row r="81" customFormat="false" ht="15" hidden="false" customHeight="false" outlineLevel="0" collapsed="false">
      <c r="A81" s="7" t="n">
        <v>77</v>
      </c>
      <c r="B81" s="19"/>
      <c r="C81" s="15"/>
      <c r="D81" s="19"/>
      <c r="E81" s="19"/>
      <c r="F81" s="19"/>
      <c r="G81" s="19"/>
      <c r="H81" s="15"/>
      <c r="I81" s="15"/>
      <c r="J81" s="15"/>
      <c r="K81" s="17"/>
      <c r="L81" s="19"/>
      <c r="M81" s="17"/>
      <c r="N81" s="20" t="str">
        <f aca="true">IF(B81="","",IF(AND(M81&lt;&gt;"",M81&lt;TODAY()),"Quá hạn việc tiếp theo",IF(AND(K81&lt;&gt;"",TODAY()-K81&gt;30),"Hơn 30 ngày chưa liên hệ","")))</f>
        <v/>
      </c>
      <c r="O81" s="19"/>
    </row>
    <row r="82" customFormat="false" ht="15" hidden="false" customHeight="false" outlineLevel="0" collapsed="false">
      <c r="A82" s="7" t="n">
        <v>78</v>
      </c>
      <c r="B82" s="19"/>
      <c r="C82" s="15"/>
      <c r="D82" s="19"/>
      <c r="E82" s="19"/>
      <c r="F82" s="19"/>
      <c r="G82" s="19"/>
      <c r="H82" s="15"/>
      <c r="I82" s="15"/>
      <c r="J82" s="15"/>
      <c r="K82" s="17"/>
      <c r="L82" s="19"/>
      <c r="M82" s="17"/>
      <c r="N82" s="20" t="str">
        <f aca="true">IF(B82="","",IF(AND(M82&lt;&gt;"",M82&lt;TODAY()),"Quá hạn việc tiếp theo",IF(AND(K82&lt;&gt;"",TODAY()-K82&gt;30),"Hơn 30 ngày chưa liên hệ","")))</f>
        <v/>
      </c>
      <c r="O82" s="19"/>
    </row>
    <row r="83" customFormat="false" ht="15" hidden="false" customHeight="false" outlineLevel="0" collapsed="false">
      <c r="A83" s="7" t="n">
        <v>79</v>
      </c>
      <c r="B83" s="19"/>
      <c r="C83" s="15"/>
      <c r="D83" s="19"/>
      <c r="E83" s="19"/>
      <c r="F83" s="19"/>
      <c r="G83" s="19"/>
      <c r="H83" s="15"/>
      <c r="I83" s="15"/>
      <c r="J83" s="15"/>
      <c r="K83" s="17"/>
      <c r="L83" s="19"/>
      <c r="M83" s="17"/>
      <c r="N83" s="20" t="str">
        <f aca="true">IF(B83="","",IF(AND(M83&lt;&gt;"",M83&lt;TODAY()),"Quá hạn việc tiếp theo",IF(AND(K83&lt;&gt;"",TODAY()-K83&gt;30),"Hơn 30 ngày chưa liên hệ","")))</f>
        <v/>
      </c>
      <c r="O83" s="19"/>
    </row>
    <row r="84" customFormat="false" ht="15" hidden="false" customHeight="false" outlineLevel="0" collapsed="false">
      <c r="A84" s="7" t="n">
        <v>80</v>
      </c>
      <c r="B84" s="19"/>
      <c r="C84" s="15"/>
      <c r="D84" s="19"/>
      <c r="E84" s="19"/>
      <c r="F84" s="19"/>
      <c r="G84" s="19"/>
      <c r="H84" s="15"/>
      <c r="I84" s="15"/>
      <c r="J84" s="15"/>
      <c r="K84" s="17"/>
      <c r="L84" s="19"/>
      <c r="M84" s="17"/>
      <c r="N84" s="20" t="str">
        <f aca="true">IF(B84="","",IF(AND(M84&lt;&gt;"",M84&lt;TODAY()),"Quá hạn việc tiếp theo",IF(AND(K84&lt;&gt;"",TODAY()-K84&gt;30),"Hơn 30 ngày chưa liên hệ","")))</f>
        <v/>
      </c>
      <c r="O84" s="19"/>
    </row>
    <row r="85" customFormat="false" ht="15" hidden="false" customHeight="false" outlineLevel="0" collapsed="false">
      <c r="A85" s="7" t="n">
        <v>81</v>
      </c>
      <c r="B85" s="19"/>
      <c r="C85" s="15"/>
      <c r="D85" s="19"/>
      <c r="E85" s="19"/>
      <c r="F85" s="19"/>
      <c r="G85" s="19"/>
      <c r="H85" s="15"/>
      <c r="I85" s="15"/>
      <c r="J85" s="15"/>
      <c r="K85" s="17"/>
      <c r="L85" s="19"/>
      <c r="M85" s="17"/>
      <c r="N85" s="20" t="str">
        <f aca="true">IF(B85="","",IF(AND(M85&lt;&gt;"",M85&lt;TODAY()),"Quá hạn việc tiếp theo",IF(AND(K85&lt;&gt;"",TODAY()-K85&gt;30),"Hơn 30 ngày chưa liên hệ","")))</f>
        <v/>
      </c>
      <c r="O85" s="19"/>
    </row>
    <row r="86" customFormat="false" ht="15" hidden="false" customHeight="false" outlineLevel="0" collapsed="false">
      <c r="A86" s="7" t="n">
        <v>82</v>
      </c>
      <c r="B86" s="19"/>
      <c r="C86" s="15"/>
      <c r="D86" s="19"/>
      <c r="E86" s="19"/>
      <c r="F86" s="19"/>
      <c r="G86" s="19"/>
      <c r="H86" s="15"/>
      <c r="I86" s="15"/>
      <c r="J86" s="15"/>
      <c r="K86" s="17"/>
      <c r="L86" s="19"/>
      <c r="M86" s="17"/>
      <c r="N86" s="20" t="str">
        <f aca="true">IF(B86="","",IF(AND(M86&lt;&gt;"",M86&lt;TODAY()),"Quá hạn việc tiếp theo",IF(AND(K86&lt;&gt;"",TODAY()-K86&gt;30),"Hơn 30 ngày chưa liên hệ","")))</f>
        <v/>
      </c>
      <c r="O86" s="19"/>
    </row>
    <row r="87" customFormat="false" ht="15" hidden="false" customHeight="false" outlineLevel="0" collapsed="false">
      <c r="A87" s="7" t="n">
        <v>83</v>
      </c>
      <c r="B87" s="19"/>
      <c r="C87" s="15"/>
      <c r="D87" s="19"/>
      <c r="E87" s="19"/>
      <c r="F87" s="19"/>
      <c r="G87" s="19"/>
      <c r="H87" s="15"/>
      <c r="I87" s="15"/>
      <c r="J87" s="15"/>
      <c r="K87" s="17"/>
      <c r="L87" s="19"/>
      <c r="M87" s="17"/>
      <c r="N87" s="20" t="str">
        <f aca="true">IF(B87="","",IF(AND(M87&lt;&gt;"",M87&lt;TODAY()),"Quá hạn việc tiếp theo",IF(AND(K87&lt;&gt;"",TODAY()-K87&gt;30),"Hơn 30 ngày chưa liên hệ","")))</f>
        <v/>
      </c>
      <c r="O87" s="19"/>
    </row>
    <row r="88" customFormat="false" ht="15" hidden="false" customHeight="false" outlineLevel="0" collapsed="false">
      <c r="A88" s="7" t="n">
        <v>84</v>
      </c>
      <c r="B88" s="19"/>
      <c r="C88" s="15"/>
      <c r="D88" s="19"/>
      <c r="E88" s="19"/>
      <c r="F88" s="19"/>
      <c r="G88" s="19"/>
      <c r="H88" s="15"/>
      <c r="I88" s="15"/>
      <c r="J88" s="15"/>
      <c r="K88" s="17"/>
      <c r="L88" s="19"/>
      <c r="M88" s="17"/>
      <c r="N88" s="20" t="str">
        <f aca="true">IF(B88="","",IF(AND(M88&lt;&gt;"",M88&lt;TODAY()),"Quá hạn việc tiếp theo",IF(AND(K88&lt;&gt;"",TODAY()-K88&gt;30),"Hơn 30 ngày chưa liên hệ","")))</f>
        <v/>
      </c>
      <c r="O88" s="19"/>
    </row>
    <row r="89" customFormat="false" ht="15" hidden="false" customHeight="false" outlineLevel="0" collapsed="false">
      <c r="A89" s="7" t="n">
        <v>85</v>
      </c>
      <c r="B89" s="19"/>
      <c r="C89" s="15"/>
      <c r="D89" s="19"/>
      <c r="E89" s="19"/>
      <c r="F89" s="19"/>
      <c r="G89" s="19"/>
      <c r="H89" s="15"/>
      <c r="I89" s="15"/>
      <c r="J89" s="15"/>
      <c r="K89" s="17"/>
      <c r="L89" s="19"/>
      <c r="M89" s="17"/>
      <c r="N89" s="20" t="str">
        <f aca="true">IF(B89="","",IF(AND(M89&lt;&gt;"",M89&lt;TODAY()),"Quá hạn việc tiếp theo",IF(AND(K89&lt;&gt;"",TODAY()-K89&gt;30),"Hơn 30 ngày chưa liên hệ","")))</f>
        <v/>
      </c>
      <c r="O89" s="19"/>
    </row>
    <row r="90" customFormat="false" ht="15" hidden="false" customHeight="false" outlineLevel="0" collapsed="false">
      <c r="A90" s="7" t="n">
        <v>86</v>
      </c>
      <c r="B90" s="19"/>
      <c r="C90" s="15"/>
      <c r="D90" s="19"/>
      <c r="E90" s="19"/>
      <c r="F90" s="19"/>
      <c r="G90" s="19"/>
      <c r="H90" s="15"/>
      <c r="I90" s="15"/>
      <c r="J90" s="15"/>
      <c r="K90" s="17"/>
      <c r="L90" s="19"/>
      <c r="M90" s="17"/>
      <c r="N90" s="20" t="str">
        <f aca="true">IF(B90="","",IF(AND(M90&lt;&gt;"",M90&lt;TODAY()),"Quá hạn việc tiếp theo",IF(AND(K90&lt;&gt;"",TODAY()-K90&gt;30),"Hơn 30 ngày chưa liên hệ","")))</f>
        <v/>
      </c>
      <c r="O90" s="19"/>
    </row>
    <row r="91" customFormat="false" ht="15" hidden="false" customHeight="false" outlineLevel="0" collapsed="false">
      <c r="A91" s="7" t="n">
        <v>87</v>
      </c>
      <c r="B91" s="19"/>
      <c r="C91" s="15"/>
      <c r="D91" s="19"/>
      <c r="E91" s="19"/>
      <c r="F91" s="19"/>
      <c r="G91" s="19"/>
      <c r="H91" s="15"/>
      <c r="I91" s="15"/>
      <c r="J91" s="15"/>
      <c r="K91" s="17"/>
      <c r="L91" s="19"/>
      <c r="M91" s="17"/>
      <c r="N91" s="20" t="str">
        <f aca="true">IF(B91="","",IF(AND(M91&lt;&gt;"",M91&lt;TODAY()),"Quá hạn việc tiếp theo",IF(AND(K91&lt;&gt;"",TODAY()-K91&gt;30),"Hơn 30 ngày chưa liên hệ","")))</f>
        <v/>
      </c>
      <c r="O91" s="19"/>
    </row>
    <row r="92" customFormat="false" ht="15" hidden="false" customHeight="false" outlineLevel="0" collapsed="false">
      <c r="A92" s="7" t="n">
        <v>88</v>
      </c>
      <c r="B92" s="19"/>
      <c r="C92" s="15"/>
      <c r="D92" s="19"/>
      <c r="E92" s="19"/>
      <c r="F92" s="19"/>
      <c r="G92" s="19"/>
      <c r="H92" s="15"/>
      <c r="I92" s="15"/>
      <c r="J92" s="15"/>
      <c r="K92" s="17"/>
      <c r="L92" s="19"/>
      <c r="M92" s="17"/>
      <c r="N92" s="20" t="str">
        <f aca="true">IF(B92="","",IF(AND(M92&lt;&gt;"",M92&lt;TODAY()),"Quá hạn việc tiếp theo",IF(AND(K92&lt;&gt;"",TODAY()-K92&gt;30),"Hơn 30 ngày chưa liên hệ","")))</f>
        <v/>
      </c>
      <c r="O92" s="19"/>
    </row>
    <row r="93" customFormat="false" ht="15" hidden="false" customHeight="false" outlineLevel="0" collapsed="false">
      <c r="A93" s="7" t="n">
        <v>89</v>
      </c>
      <c r="B93" s="19"/>
      <c r="C93" s="15"/>
      <c r="D93" s="19"/>
      <c r="E93" s="19"/>
      <c r="F93" s="19"/>
      <c r="G93" s="19"/>
      <c r="H93" s="15"/>
      <c r="I93" s="15"/>
      <c r="J93" s="15"/>
      <c r="K93" s="17"/>
      <c r="L93" s="19"/>
      <c r="M93" s="17"/>
      <c r="N93" s="20" t="str">
        <f aca="true">IF(B93="","",IF(AND(M93&lt;&gt;"",M93&lt;TODAY()),"Quá hạn việc tiếp theo",IF(AND(K93&lt;&gt;"",TODAY()-K93&gt;30),"Hơn 30 ngày chưa liên hệ","")))</f>
        <v/>
      </c>
      <c r="O93" s="19"/>
    </row>
    <row r="94" customFormat="false" ht="15" hidden="false" customHeight="false" outlineLevel="0" collapsed="false">
      <c r="A94" s="7" t="n">
        <v>90</v>
      </c>
      <c r="B94" s="19"/>
      <c r="C94" s="15"/>
      <c r="D94" s="19"/>
      <c r="E94" s="19"/>
      <c r="F94" s="19"/>
      <c r="G94" s="19"/>
      <c r="H94" s="15"/>
      <c r="I94" s="15"/>
      <c r="J94" s="15"/>
      <c r="K94" s="17"/>
      <c r="L94" s="19"/>
      <c r="M94" s="17"/>
      <c r="N94" s="20" t="str">
        <f aca="true">IF(B94="","",IF(AND(M94&lt;&gt;"",M94&lt;TODAY()),"Quá hạn việc tiếp theo",IF(AND(K94&lt;&gt;"",TODAY()-K94&gt;30),"Hơn 30 ngày chưa liên hệ","")))</f>
        <v/>
      </c>
      <c r="O94" s="19"/>
    </row>
    <row r="95" customFormat="false" ht="15" hidden="false" customHeight="false" outlineLevel="0" collapsed="false">
      <c r="A95" s="7" t="n">
        <v>91</v>
      </c>
      <c r="B95" s="19"/>
      <c r="C95" s="15"/>
      <c r="D95" s="19"/>
      <c r="E95" s="19"/>
      <c r="F95" s="19"/>
      <c r="G95" s="19"/>
      <c r="H95" s="15"/>
      <c r="I95" s="15"/>
      <c r="J95" s="15"/>
      <c r="K95" s="17"/>
      <c r="L95" s="19"/>
      <c r="M95" s="17"/>
      <c r="N95" s="20" t="str">
        <f aca="true">IF(B95="","",IF(AND(M95&lt;&gt;"",M95&lt;TODAY()),"Quá hạn việc tiếp theo",IF(AND(K95&lt;&gt;"",TODAY()-K95&gt;30),"Hơn 30 ngày chưa liên hệ","")))</f>
        <v/>
      </c>
      <c r="O95" s="19"/>
    </row>
    <row r="96" customFormat="false" ht="15" hidden="false" customHeight="false" outlineLevel="0" collapsed="false">
      <c r="A96" s="7" t="n">
        <v>92</v>
      </c>
      <c r="B96" s="19"/>
      <c r="C96" s="15"/>
      <c r="D96" s="19"/>
      <c r="E96" s="19"/>
      <c r="F96" s="19"/>
      <c r="G96" s="19"/>
      <c r="H96" s="15"/>
      <c r="I96" s="15"/>
      <c r="J96" s="15"/>
      <c r="K96" s="17"/>
      <c r="L96" s="19"/>
      <c r="M96" s="17"/>
      <c r="N96" s="20" t="str">
        <f aca="true">IF(B96="","",IF(AND(M96&lt;&gt;"",M96&lt;TODAY()),"Quá hạn việc tiếp theo",IF(AND(K96&lt;&gt;"",TODAY()-K96&gt;30),"Hơn 30 ngày chưa liên hệ","")))</f>
        <v/>
      </c>
      <c r="O96" s="19"/>
    </row>
    <row r="97" customFormat="false" ht="15" hidden="false" customHeight="false" outlineLevel="0" collapsed="false">
      <c r="A97" s="7" t="n">
        <v>93</v>
      </c>
      <c r="B97" s="19"/>
      <c r="C97" s="15"/>
      <c r="D97" s="19"/>
      <c r="E97" s="19"/>
      <c r="F97" s="19"/>
      <c r="G97" s="19"/>
      <c r="H97" s="15"/>
      <c r="I97" s="15"/>
      <c r="J97" s="15"/>
      <c r="K97" s="17"/>
      <c r="L97" s="19"/>
      <c r="M97" s="17"/>
      <c r="N97" s="20" t="str">
        <f aca="true">IF(B97="","",IF(AND(M97&lt;&gt;"",M97&lt;TODAY()),"Quá hạn việc tiếp theo",IF(AND(K97&lt;&gt;"",TODAY()-K97&gt;30),"Hơn 30 ngày chưa liên hệ","")))</f>
        <v/>
      </c>
      <c r="O97" s="19"/>
    </row>
    <row r="98" customFormat="false" ht="15" hidden="false" customHeight="false" outlineLevel="0" collapsed="false">
      <c r="A98" s="7" t="n">
        <v>94</v>
      </c>
      <c r="B98" s="19"/>
      <c r="C98" s="15"/>
      <c r="D98" s="19"/>
      <c r="E98" s="19"/>
      <c r="F98" s="19"/>
      <c r="G98" s="19"/>
      <c r="H98" s="15"/>
      <c r="I98" s="15"/>
      <c r="J98" s="15"/>
      <c r="K98" s="17"/>
      <c r="L98" s="19"/>
      <c r="M98" s="17"/>
      <c r="N98" s="20" t="str">
        <f aca="true">IF(B98="","",IF(AND(M98&lt;&gt;"",M98&lt;TODAY()),"Quá hạn việc tiếp theo",IF(AND(K98&lt;&gt;"",TODAY()-K98&gt;30),"Hơn 30 ngày chưa liên hệ","")))</f>
        <v/>
      </c>
      <c r="O98" s="19"/>
    </row>
    <row r="99" customFormat="false" ht="15" hidden="false" customHeight="false" outlineLevel="0" collapsed="false">
      <c r="A99" s="7" t="n">
        <v>95</v>
      </c>
      <c r="B99" s="19"/>
      <c r="C99" s="15"/>
      <c r="D99" s="19"/>
      <c r="E99" s="19"/>
      <c r="F99" s="19"/>
      <c r="G99" s="19"/>
      <c r="H99" s="15"/>
      <c r="I99" s="15"/>
      <c r="J99" s="15"/>
      <c r="K99" s="17"/>
      <c r="L99" s="19"/>
      <c r="M99" s="17"/>
      <c r="N99" s="20" t="str">
        <f aca="true">IF(B99="","",IF(AND(M99&lt;&gt;"",M99&lt;TODAY()),"Quá hạn việc tiếp theo",IF(AND(K99&lt;&gt;"",TODAY()-K99&gt;30),"Hơn 30 ngày chưa liên hệ","")))</f>
        <v/>
      </c>
      <c r="O99" s="19"/>
    </row>
    <row r="100" customFormat="false" ht="15" hidden="false" customHeight="false" outlineLevel="0" collapsed="false">
      <c r="A100" s="7" t="n">
        <v>96</v>
      </c>
      <c r="B100" s="19"/>
      <c r="C100" s="15"/>
      <c r="D100" s="19"/>
      <c r="E100" s="19"/>
      <c r="F100" s="19"/>
      <c r="G100" s="19"/>
      <c r="H100" s="15"/>
      <c r="I100" s="15"/>
      <c r="J100" s="15"/>
      <c r="K100" s="17"/>
      <c r="L100" s="19"/>
      <c r="M100" s="17"/>
      <c r="N100" s="20" t="str">
        <f aca="true">IF(B100="","",IF(AND(M100&lt;&gt;"",M100&lt;TODAY()),"Quá hạn việc tiếp theo",IF(AND(K100&lt;&gt;"",TODAY()-K100&gt;30),"Hơn 30 ngày chưa liên hệ","")))</f>
        <v/>
      </c>
      <c r="O100" s="19"/>
    </row>
    <row r="101" customFormat="false" ht="15" hidden="false" customHeight="false" outlineLevel="0" collapsed="false">
      <c r="A101" s="7" t="n">
        <v>97</v>
      </c>
      <c r="B101" s="19"/>
      <c r="C101" s="15"/>
      <c r="D101" s="19"/>
      <c r="E101" s="19"/>
      <c r="F101" s="19"/>
      <c r="G101" s="19"/>
      <c r="H101" s="15"/>
      <c r="I101" s="15"/>
      <c r="J101" s="15"/>
      <c r="K101" s="17"/>
      <c r="L101" s="19"/>
      <c r="M101" s="17"/>
      <c r="N101" s="20" t="str">
        <f aca="true">IF(B101="","",IF(AND(M101&lt;&gt;"",M101&lt;TODAY()),"Quá hạn việc tiếp theo",IF(AND(K101&lt;&gt;"",TODAY()-K101&gt;30),"Hơn 30 ngày chưa liên hệ","")))</f>
        <v/>
      </c>
      <c r="O101" s="19"/>
    </row>
    <row r="102" customFormat="false" ht="15" hidden="false" customHeight="false" outlineLevel="0" collapsed="false">
      <c r="A102" s="7" t="n">
        <v>98</v>
      </c>
      <c r="B102" s="19"/>
      <c r="C102" s="15"/>
      <c r="D102" s="19"/>
      <c r="E102" s="19"/>
      <c r="F102" s="19"/>
      <c r="G102" s="19"/>
      <c r="H102" s="15"/>
      <c r="I102" s="15"/>
      <c r="J102" s="15"/>
      <c r="K102" s="17"/>
      <c r="L102" s="19"/>
      <c r="M102" s="17"/>
      <c r="N102" s="20" t="str">
        <f aca="true">IF(B102="","",IF(AND(M102&lt;&gt;"",M102&lt;TODAY()),"Quá hạn việc tiếp theo",IF(AND(K102&lt;&gt;"",TODAY()-K102&gt;30),"Hơn 30 ngày chưa liên hệ","")))</f>
        <v/>
      </c>
      <c r="O102" s="19"/>
    </row>
    <row r="103" customFormat="false" ht="15" hidden="false" customHeight="false" outlineLevel="0" collapsed="false">
      <c r="A103" s="7" t="n">
        <v>99</v>
      </c>
      <c r="B103" s="19"/>
      <c r="C103" s="15"/>
      <c r="D103" s="19"/>
      <c r="E103" s="19"/>
      <c r="F103" s="19"/>
      <c r="G103" s="19"/>
      <c r="H103" s="15"/>
      <c r="I103" s="15"/>
      <c r="J103" s="15"/>
      <c r="K103" s="17"/>
      <c r="L103" s="19"/>
      <c r="M103" s="17"/>
      <c r="N103" s="20" t="str">
        <f aca="true">IF(B103="","",IF(AND(M103&lt;&gt;"",M103&lt;TODAY()),"Quá hạn việc tiếp theo",IF(AND(K103&lt;&gt;"",TODAY()-K103&gt;30),"Hơn 30 ngày chưa liên hệ","")))</f>
        <v/>
      </c>
      <c r="O103" s="19"/>
    </row>
    <row r="104" customFormat="false" ht="15" hidden="false" customHeight="false" outlineLevel="0" collapsed="false">
      <c r="A104" s="7" t="n">
        <v>100</v>
      </c>
      <c r="B104" s="19"/>
      <c r="C104" s="15"/>
      <c r="D104" s="19"/>
      <c r="E104" s="19"/>
      <c r="F104" s="19"/>
      <c r="G104" s="19"/>
      <c r="H104" s="15"/>
      <c r="I104" s="15"/>
      <c r="J104" s="15"/>
      <c r="K104" s="17"/>
      <c r="L104" s="19"/>
      <c r="M104" s="17"/>
      <c r="N104" s="20" t="str">
        <f aca="true">IF(B104="","",IF(AND(M104&lt;&gt;"",M104&lt;TODAY()),"Quá hạn việc tiếp theo",IF(AND(K104&lt;&gt;"",TODAY()-K104&gt;30),"Hơn 30 ngày chưa liên hệ","")))</f>
        <v/>
      </c>
      <c r="O104" s="19"/>
    </row>
  </sheetData>
  <autoFilter ref="A4:O104"/>
  <mergeCells count="1">
    <mergeCell ref="A2:O2"/>
  </mergeCells>
  <conditionalFormatting sqref="N5:N104">
    <cfRule type="expression" priority="2" aboveAverage="0" equalAverage="0" bottom="0" percent="0" rank="0" text="" dxfId="0">
      <formula>ISNUMBER(SEARCH("quá hạn",N5))</formula>
    </cfRule>
  </conditionalFormatting>
  <dataValidations count="5">
    <dataValidation allowBlank="true" errorStyle="stop" operator="between" showDropDown="false" showErrorMessage="true" showInputMessage="false" sqref="C5:C104" type="list">
      <formula1>"A. Technology,B. Channel / SI,C. Domain consultant,D. Ecosystem"</formula1>
      <formula2>0</formula2>
    </dataValidation>
    <dataValidation allowBlank="true" error="Giá trị này không nằm trong danh sách. Chọn tiếp tục nếu muốn nhập nhiều ngành, cách nhau bằng dấu chấm phẩy." errorStyle="warning" errorTitle="Ngành" operator="between" showDropDown="false" showErrorMessage="true" showInputMessage="false" sqref="D5:D104" type="list">
      <formula1>"BFSI,Chính phủ,Y tế,Bán lẻ,Sản xuất,Logistics,Truyền thông,Giáo dục"</formula1>
      <formula2>0</formula2>
    </dataValidation>
    <dataValidation allowBlank="true" errorStyle="stop" operator="between" showDropDown="false" showErrorMessage="true" showInputMessage="false" sqref="H5:H104" type="list">
      <formula1>"1. Tìm,2. Tiếp cận,3. Thẩm định,4. Ký,5. Onboarding,6. Kích hoạt,7. Tạo giá trị,8. Đánh giá"</formula1>
      <formula2>0</formula2>
    </dataValidation>
    <dataValidation allowBlank="true" errorStyle="stop" operator="between" showDropDown="false" showErrorMessage="true" showInputMessage="false" sqref="I5:I104" type="list">
      <formula1>"Explorer,Certified,Strategic"</formula1>
      <formula2>0</formula2>
    </dataValidation>
    <dataValidation allowBlank="true" error="Nhập điểm từ 1 đến 5" errorStyle="stop" operator="between" showDropDown="false" showErrorMessage="true" showInputMessage="false" sqref="J5:J104" type="whole">
      <formula1>1</formula1>
      <formula2>5</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3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20"/>
    <col collapsed="false" customWidth="true" hidden="false" outlineLevel="0" max="3" min="3" style="0" width="24"/>
    <col collapsed="false" customWidth="true" hidden="false" outlineLevel="0" max="5" min="4" style="0" width="13"/>
    <col collapsed="false" customWidth="true" hidden="false" outlineLevel="0" max="6" min="6" style="0" width="24"/>
    <col collapsed="false" customWidth="true" hidden="false" outlineLevel="0" max="8" min="7" style="0" width="20"/>
    <col collapsed="false" customWidth="true" hidden="false" outlineLevel="0" max="9" min="9" style="0" width="15"/>
    <col collapsed="false" customWidth="true" hidden="false" outlineLevel="0" max="10" min="10" style="0" width="48"/>
  </cols>
  <sheetData>
    <row r="1" customFormat="false" ht="17.35" hidden="false" customHeight="false" outlineLevel="0" collapsed="false">
      <c r="A1" s="1" t="s">
        <v>181</v>
      </c>
    </row>
    <row r="2" customFormat="false" ht="42" hidden="false" customHeight="true" outlineLevel="0" collapsed="false">
      <c r="A2" s="13" t="s">
        <v>182</v>
      </c>
      <c r="B2" s="13"/>
      <c r="C2" s="13"/>
      <c r="D2" s="13"/>
      <c r="E2" s="13"/>
      <c r="F2" s="13"/>
      <c r="G2" s="13"/>
      <c r="H2" s="13"/>
      <c r="I2" s="13"/>
      <c r="J2" s="13"/>
    </row>
    <row r="4" customFormat="false" ht="31.5" hidden="false" customHeight="true" outlineLevel="0" collapsed="false">
      <c r="A4" s="14" t="s">
        <v>183</v>
      </c>
      <c r="B4" s="14" t="s">
        <v>184</v>
      </c>
      <c r="C4" s="14" t="s">
        <v>185</v>
      </c>
      <c r="D4" s="14" t="s">
        <v>186</v>
      </c>
      <c r="E4" s="14" t="s">
        <v>187</v>
      </c>
      <c r="F4" s="14" t="s">
        <v>188</v>
      </c>
      <c r="G4" s="14" t="s">
        <v>189</v>
      </c>
      <c r="H4" s="14" t="s">
        <v>190</v>
      </c>
      <c r="I4" s="14" t="s">
        <v>191</v>
      </c>
      <c r="J4" s="14" t="s">
        <v>192</v>
      </c>
    </row>
    <row r="5" customFormat="false" ht="35.05" hidden="false" customHeight="false" outlineLevel="0" collapsed="false">
      <c r="A5" s="19" t="s">
        <v>165</v>
      </c>
      <c r="B5" s="19" t="s">
        <v>193</v>
      </c>
      <c r="C5" s="15" t="s">
        <v>134</v>
      </c>
      <c r="D5" s="17"/>
      <c r="E5" s="17"/>
      <c r="F5" s="19"/>
      <c r="G5" s="19"/>
      <c r="H5" s="15" t="s">
        <v>134</v>
      </c>
      <c r="I5" s="18" t="str">
        <f aca="true">IF(E5="","",IF(E5&lt;TODAY(),"Hết hạn",IF(E5-TODAY()&lt;=60,"Sắp hết hạn","Còn hiệu lực")))</f>
        <v/>
      </c>
      <c r="J5" s="19" t="s">
        <v>194</v>
      </c>
    </row>
    <row r="6" customFormat="false" ht="35.05" hidden="false" customHeight="false" outlineLevel="0" collapsed="false">
      <c r="A6" s="19" t="s">
        <v>171</v>
      </c>
      <c r="B6" s="19" t="s">
        <v>193</v>
      </c>
      <c r="C6" s="15" t="s">
        <v>134</v>
      </c>
      <c r="D6" s="17"/>
      <c r="E6" s="17"/>
      <c r="F6" s="19"/>
      <c r="G6" s="19"/>
      <c r="H6" s="15" t="s">
        <v>134</v>
      </c>
      <c r="I6" s="18" t="str">
        <f aca="true">IF(E6="","",IF(E6&lt;TODAY(),"Hết hạn",IF(E6-TODAY()&lt;=60,"Sắp hết hạn","Còn hiệu lực")))</f>
        <v/>
      </c>
      <c r="J6" s="19" t="s">
        <v>195</v>
      </c>
    </row>
    <row r="7" customFormat="false" ht="35.05" hidden="false" customHeight="false" outlineLevel="0" collapsed="false">
      <c r="A7" s="19" t="s">
        <v>176</v>
      </c>
      <c r="B7" s="19" t="s">
        <v>193</v>
      </c>
      <c r="C7" s="15" t="s">
        <v>134</v>
      </c>
      <c r="D7" s="17"/>
      <c r="E7" s="17"/>
      <c r="F7" s="19"/>
      <c r="G7" s="19"/>
      <c r="H7" s="15" t="s">
        <v>134</v>
      </c>
      <c r="I7" s="18" t="str">
        <f aca="true">IF(E7="","",IF(E7&lt;TODAY(),"Hết hạn",IF(E7-TODAY()&lt;=60,"Sắp hết hạn","Còn hiệu lực")))</f>
        <v/>
      </c>
      <c r="J7" s="19" t="s">
        <v>196</v>
      </c>
    </row>
    <row r="8" customFormat="false" ht="23.85" hidden="false" customHeight="false" outlineLevel="0" collapsed="false">
      <c r="A8" s="19" t="s">
        <v>197</v>
      </c>
      <c r="B8" s="19" t="s">
        <v>198</v>
      </c>
      <c r="C8" s="15" t="s">
        <v>134</v>
      </c>
      <c r="D8" s="17"/>
      <c r="E8" s="17"/>
      <c r="F8" s="19"/>
      <c r="G8" s="19"/>
      <c r="H8" s="15" t="s">
        <v>134</v>
      </c>
      <c r="I8" s="18" t="str">
        <f aca="true">IF(E8="","",IF(E8&lt;TODAY(),"Hết hạn",IF(E8-TODAY()&lt;=60,"Sắp hết hạn","Còn hiệu lực")))</f>
        <v/>
      </c>
      <c r="J8" s="19" t="s">
        <v>199</v>
      </c>
    </row>
    <row r="9" customFormat="false" ht="23.85" hidden="false" customHeight="false" outlineLevel="0" collapsed="false">
      <c r="A9" s="19" t="s">
        <v>200</v>
      </c>
      <c r="B9" s="19" t="s">
        <v>198</v>
      </c>
      <c r="C9" s="15" t="s">
        <v>134</v>
      </c>
      <c r="D9" s="17"/>
      <c r="E9" s="17"/>
      <c r="F9" s="19"/>
      <c r="G9" s="19"/>
      <c r="H9" s="15" t="s">
        <v>134</v>
      </c>
      <c r="I9" s="18" t="str">
        <f aca="true">IF(E9="","",IF(E9&lt;TODAY(),"Hết hạn",IF(E9-TODAY()&lt;=60,"Sắp hết hạn","Còn hiệu lực")))</f>
        <v/>
      </c>
      <c r="J9" s="19" t="s">
        <v>199</v>
      </c>
    </row>
    <row r="10" customFormat="false" ht="23.85" hidden="false" customHeight="false" outlineLevel="0" collapsed="false">
      <c r="A10" s="19" t="s">
        <v>201</v>
      </c>
      <c r="B10" s="19" t="s">
        <v>198</v>
      </c>
      <c r="C10" s="15" t="s">
        <v>134</v>
      </c>
      <c r="D10" s="17"/>
      <c r="E10" s="17"/>
      <c r="F10" s="19"/>
      <c r="G10" s="19"/>
      <c r="H10" s="15" t="s">
        <v>134</v>
      </c>
      <c r="I10" s="18" t="str">
        <f aca="true">IF(E10="","",IF(E10&lt;TODAY(),"Hết hạn",IF(E10-TODAY()&lt;=60,"Sắp hết hạn","Còn hiệu lực")))</f>
        <v/>
      </c>
      <c r="J10" s="19" t="s">
        <v>199</v>
      </c>
    </row>
    <row r="11" customFormat="false" ht="23.85" hidden="false" customHeight="false" outlineLevel="0" collapsed="false">
      <c r="A11" s="19" t="s">
        <v>202</v>
      </c>
      <c r="B11" s="19" t="s">
        <v>198</v>
      </c>
      <c r="C11" s="15" t="s">
        <v>134</v>
      </c>
      <c r="D11" s="17"/>
      <c r="E11" s="17"/>
      <c r="F11" s="19"/>
      <c r="G11" s="19"/>
      <c r="H11" s="15" t="s">
        <v>134</v>
      </c>
      <c r="I11" s="18" t="str">
        <f aca="true">IF(E11="","",IF(E11&lt;TODAY(),"Hết hạn",IF(E11-TODAY()&lt;=60,"Sắp hết hạn","Còn hiệu lực")))</f>
        <v/>
      </c>
      <c r="J11" s="19" t="s">
        <v>199</v>
      </c>
    </row>
    <row r="12" customFormat="false" ht="15" hidden="false" customHeight="false" outlineLevel="0" collapsed="false">
      <c r="A12" s="19"/>
      <c r="B12" s="19"/>
      <c r="C12" s="15"/>
      <c r="D12" s="17"/>
      <c r="E12" s="17"/>
      <c r="F12" s="19"/>
      <c r="G12" s="19"/>
      <c r="H12" s="15"/>
      <c r="I12" s="18" t="str">
        <f aca="true">IF(E12="","",IF(E12&lt;TODAY(),"Hết hạn",IF(E12-TODAY()&lt;=60,"Sắp hết hạn","Còn hiệu lực")))</f>
        <v/>
      </c>
      <c r="J12" s="19"/>
    </row>
    <row r="13" customFormat="false" ht="15" hidden="false" customHeight="false" outlineLevel="0" collapsed="false">
      <c r="A13" s="19"/>
      <c r="B13" s="19"/>
      <c r="C13" s="15"/>
      <c r="D13" s="17"/>
      <c r="E13" s="17"/>
      <c r="F13" s="19"/>
      <c r="G13" s="19"/>
      <c r="H13" s="15"/>
      <c r="I13" s="18" t="str">
        <f aca="true">IF(E13="","",IF(E13&lt;TODAY(),"Hết hạn",IF(E13-TODAY()&lt;=60,"Sắp hết hạn","Còn hiệu lực")))</f>
        <v/>
      </c>
      <c r="J13" s="19"/>
    </row>
    <row r="14" customFormat="false" ht="15" hidden="false" customHeight="false" outlineLevel="0" collapsed="false">
      <c r="A14" s="19"/>
      <c r="B14" s="19"/>
      <c r="C14" s="15"/>
      <c r="D14" s="17"/>
      <c r="E14" s="17"/>
      <c r="F14" s="19"/>
      <c r="G14" s="19"/>
      <c r="H14" s="15"/>
      <c r="I14" s="18" t="str">
        <f aca="true">IF(E14="","",IF(E14&lt;TODAY(),"Hết hạn",IF(E14-TODAY()&lt;=60,"Sắp hết hạn","Còn hiệu lực")))</f>
        <v/>
      </c>
      <c r="J14" s="19"/>
    </row>
    <row r="15" customFormat="false" ht="15" hidden="false" customHeight="false" outlineLevel="0" collapsed="false">
      <c r="A15" s="19"/>
      <c r="B15" s="19"/>
      <c r="C15" s="15"/>
      <c r="D15" s="17"/>
      <c r="E15" s="17"/>
      <c r="F15" s="19"/>
      <c r="G15" s="19"/>
      <c r="H15" s="15"/>
      <c r="I15" s="18" t="str">
        <f aca="true">IF(E15="","",IF(E15&lt;TODAY(),"Hết hạn",IF(E15-TODAY()&lt;=60,"Sắp hết hạn","Còn hiệu lực")))</f>
        <v/>
      </c>
      <c r="J15" s="19"/>
    </row>
    <row r="16" customFormat="false" ht="15" hidden="false" customHeight="false" outlineLevel="0" collapsed="false">
      <c r="A16" s="19"/>
      <c r="B16" s="19"/>
      <c r="C16" s="15"/>
      <c r="D16" s="17"/>
      <c r="E16" s="17"/>
      <c r="F16" s="19"/>
      <c r="G16" s="19"/>
      <c r="H16" s="15"/>
      <c r="I16" s="18" t="str">
        <f aca="true">IF(E16="","",IF(E16&lt;TODAY(),"Hết hạn",IF(E16-TODAY()&lt;=60,"Sắp hết hạn","Còn hiệu lực")))</f>
        <v/>
      </c>
      <c r="J16" s="19"/>
    </row>
    <row r="17" customFormat="false" ht="15" hidden="false" customHeight="false" outlineLevel="0" collapsed="false">
      <c r="A17" s="19"/>
      <c r="B17" s="19"/>
      <c r="C17" s="15"/>
      <c r="D17" s="17"/>
      <c r="E17" s="17"/>
      <c r="F17" s="19"/>
      <c r="G17" s="19"/>
      <c r="H17" s="15"/>
      <c r="I17" s="18" t="str">
        <f aca="true">IF(E17="","",IF(E17&lt;TODAY(),"Hết hạn",IF(E17-TODAY()&lt;=60,"Sắp hết hạn","Còn hiệu lực")))</f>
        <v/>
      </c>
      <c r="J17" s="19"/>
    </row>
    <row r="18" customFormat="false" ht="15" hidden="false" customHeight="false" outlineLevel="0" collapsed="false">
      <c r="A18" s="19"/>
      <c r="B18" s="19"/>
      <c r="C18" s="15"/>
      <c r="D18" s="17"/>
      <c r="E18" s="17"/>
      <c r="F18" s="19"/>
      <c r="G18" s="19"/>
      <c r="H18" s="15"/>
      <c r="I18" s="18" t="str">
        <f aca="true">IF(E18="","",IF(E18&lt;TODAY(),"Hết hạn",IF(E18-TODAY()&lt;=60,"Sắp hết hạn","Còn hiệu lực")))</f>
        <v/>
      </c>
      <c r="J18" s="19"/>
    </row>
    <row r="19" customFormat="false" ht="15" hidden="false" customHeight="false" outlineLevel="0" collapsed="false">
      <c r="A19" s="19"/>
      <c r="B19" s="19"/>
      <c r="C19" s="15"/>
      <c r="D19" s="17"/>
      <c r="E19" s="17"/>
      <c r="F19" s="19"/>
      <c r="G19" s="19"/>
      <c r="H19" s="15"/>
      <c r="I19" s="18" t="str">
        <f aca="true">IF(E19="","",IF(E19&lt;TODAY(),"Hết hạn",IF(E19-TODAY()&lt;=60,"Sắp hết hạn","Còn hiệu lực")))</f>
        <v/>
      </c>
      <c r="J19" s="19"/>
    </row>
    <row r="20" customFormat="false" ht="15" hidden="false" customHeight="false" outlineLevel="0" collapsed="false">
      <c r="A20" s="19"/>
      <c r="B20" s="19"/>
      <c r="C20" s="15"/>
      <c r="D20" s="17"/>
      <c r="E20" s="17"/>
      <c r="F20" s="19"/>
      <c r="G20" s="19"/>
      <c r="H20" s="15"/>
      <c r="I20" s="18" t="str">
        <f aca="true">IF(E20="","",IF(E20&lt;TODAY(),"Hết hạn",IF(E20-TODAY()&lt;=60,"Sắp hết hạn","Còn hiệu lực")))</f>
        <v/>
      </c>
      <c r="J20" s="19"/>
    </row>
    <row r="21" customFormat="false" ht="15" hidden="false" customHeight="false" outlineLevel="0" collapsed="false">
      <c r="A21" s="19"/>
      <c r="B21" s="19"/>
      <c r="C21" s="15"/>
      <c r="D21" s="17"/>
      <c r="E21" s="17"/>
      <c r="F21" s="19"/>
      <c r="G21" s="19"/>
      <c r="H21" s="15"/>
      <c r="I21" s="18" t="str">
        <f aca="true">IF(E21="","",IF(E21&lt;TODAY(),"Hết hạn",IF(E21-TODAY()&lt;=60,"Sắp hết hạn","Còn hiệu lực")))</f>
        <v/>
      </c>
      <c r="J21" s="19"/>
    </row>
    <row r="22" customFormat="false" ht="15" hidden="false" customHeight="false" outlineLevel="0" collapsed="false">
      <c r="A22" s="19"/>
      <c r="B22" s="19"/>
      <c r="C22" s="15"/>
      <c r="D22" s="17"/>
      <c r="E22" s="17"/>
      <c r="F22" s="19"/>
      <c r="G22" s="19"/>
      <c r="H22" s="15"/>
      <c r="I22" s="18" t="str">
        <f aca="true">IF(E22="","",IF(E22&lt;TODAY(),"Hết hạn",IF(E22-TODAY()&lt;=60,"Sắp hết hạn","Còn hiệu lực")))</f>
        <v/>
      </c>
      <c r="J22" s="19"/>
    </row>
    <row r="23" customFormat="false" ht="15" hidden="false" customHeight="false" outlineLevel="0" collapsed="false">
      <c r="A23" s="19"/>
      <c r="B23" s="19"/>
      <c r="C23" s="15"/>
      <c r="D23" s="17"/>
      <c r="E23" s="17"/>
      <c r="F23" s="19"/>
      <c r="G23" s="19"/>
      <c r="H23" s="15"/>
      <c r="I23" s="18" t="str">
        <f aca="true">IF(E23="","",IF(E23&lt;TODAY(),"Hết hạn",IF(E23-TODAY()&lt;=60,"Sắp hết hạn","Còn hiệu lực")))</f>
        <v/>
      </c>
      <c r="J23" s="19"/>
    </row>
    <row r="24" customFormat="false" ht="15" hidden="false" customHeight="false" outlineLevel="0" collapsed="false">
      <c r="A24" s="19"/>
      <c r="B24" s="19"/>
      <c r="C24" s="15"/>
      <c r="D24" s="17"/>
      <c r="E24" s="17"/>
      <c r="F24" s="19"/>
      <c r="G24" s="19"/>
      <c r="H24" s="15"/>
      <c r="I24" s="18" t="str">
        <f aca="true">IF(E24="","",IF(E24&lt;TODAY(),"Hết hạn",IF(E24-TODAY()&lt;=60,"Sắp hết hạn","Còn hiệu lực")))</f>
        <v/>
      </c>
      <c r="J24" s="19"/>
    </row>
    <row r="25" customFormat="false" ht="15" hidden="false" customHeight="false" outlineLevel="0" collapsed="false">
      <c r="A25" s="19"/>
      <c r="B25" s="19"/>
      <c r="C25" s="15"/>
      <c r="D25" s="17"/>
      <c r="E25" s="17"/>
      <c r="F25" s="19"/>
      <c r="G25" s="19"/>
      <c r="H25" s="15"/>
      <c r="I25" s="18" t="str">
        <f aca="true">IF(E25="","",IF(E25&lt;TODAY(),"Hết hạn",IF(E25-TODAY()&lt;=60,"Sắp hết hạn","Còn hiệu lực")))</f>
        <v/>
      </c>
      <c r="J25" s="19"/>
    </row>
    <row r="26" customFormat="false" ht="15" hidden="false" customHeight="false" outlineLevel="0" collapsed="false">
      <c r="A26" s="19"/>
      <c r="B26" s="19"/>
      <c r="C26" s="15"/>
      <c r="D26" s="17"/>
      <c r="E26" s="17"/>
      <c r="F26" s="19"/>
      <c r="G26" s="19"/>
      <c r="H26" s="15"/>
      <c r="I26" s="18" t="str">
        <f aca="true">IF(E26="","",IF(E26&lt;TODAY(),"Hết hạn",IF(E26-TODAY()&lt;=60,"Sắp hết hạn","Còn hiệu lực")))</f>
        <v/>
      </c>
      <c r="J26" s="19"/>
    </row>
    <row r="27" customFormat="false" ht="15" hidden="false" customHeight="false" outlineLevel="0" collapsed="false">
      <c r="A27" s="19"/>
      <c r="B27" s="19"/>
      <c r="C27" s="15"/>
      <c r="D27" s="17"/>
      <c r="E27" s="17"/>
      <c r="F27" s="19"/>
      <c r="G27" s="19"/>
      <c r="H27" s="15"/>
      <c r="I27" s="18" t="str">
        <f aca="true">IF(E27="","",IF(E27&lt;TODAY(),"Hết hạn",IF(E27-TODAY()&lt;=60,"Sắp hết hạn","Còn hiệu lực")))</f>
        <v/>
      </c>
      <c r="J27" s="19"/>
    </row>
    <row r="28" customFormat="false" ht="15" hidden="false" customHeight="false" outlineLevel="0" collapsed="false">
      <c r="A28" s="19"/>
      <c r="B28" s="19"/>
      <c r="C28" s="15"/>
      <c r="D28" s="17"/>
      <c r="E28" s="17"/>
      <c r="F28" s="19"/>
      <c r="G28" s="19"/>
      <c r="H28" s="15"/>
      <c r="I28" s="18" t="str">
        <f aca="true">IF(E28="","",IF(E28&lt;TODAY(),"Hết hạn",IF(E28-TODAY()&lt;=60,"Sắp hết hạn","Còn hiệu lực")))</f>
        <v/>
      </c>
      <c r="J28" s="19"/>
    </row>
    <row r="29" customFormat="false" ht="15" hidden="false" customHeight="false" outlineLevel="0" collapsed="false">
      <c r="A29" s="19"/>
      <c r="B29" s="19"/>
      <c r="C29" s="15"/>
      <c r="D29" s="17"/>
      <c r="E29" s="17"/>
      <c r="F29" s="19"/>
      <c r="G29" s="19"/>
      <c r="H29" s="15"/>
      <c r="I29" s="18" t="str">
        <f aca="true">IF(E29="","",IF(E29&lt;TODAY(),"Hết hạn",IF(E29-TODAY()&lt;=60,"Sắp hết hạn","Còn hiệu lực")))</f>
        <v/>
      </c>
      <c r="J29" s="19"/>
    </row>
    <row r="30" customFormat="false" ht="15" hidden="false" customHeight="false" outlineLevel="0" collapsed="false">
      <c r="A30" s="19"/>
      <c r="B30" s="19"/>
      <c r="C30" s="15"/>
      <c r="D30" s="17"/>
      <c r="E30" s="17"/>
      <c r="F30" s="19"/>
      <c r="G30" s="19"/>
      <c r="H30" s="15"/>
      <c r="I30" s="18" t="str">
        <f aca="true">IF(E30="","",IF(E30&lt;TODAY(),"Hết hạn",IF(E30-TODAY()&lt;=60,"Sắp hết hạn","Còn hiệu lực")))</f>
        <v/>
      </c>
      <c r="J30" s="19"/>
    </row>
    <row r="31" customFormat="false" ht="15" hidden="false" customHeight="false" outlineLevel="0" collapsed="false">
      <c r="A31" s="19"/>
      <c r="B31" s="19"/>
      <c r="C31" s="15"/>
      <c r="D31" s="17"/>
      <c r="E31" s="17"/>
      <c r="F31" s="19"/>
      <c r="G31" s="19"/>
      <c r="H31" s="15"/>
      <c r="I31" s="18" t="str">
        <f aca="true">IF(E31="","",IF(E31&lt;TODAY(),"Hết hạn",IF(E31-TODAY()&lt;=60,"Sắp hết hạn","Còn hiệu lực")))</f>
        <v/>
      </c>
      <c r="J31" s="19"/>
    </row>
    <row r="32" customFormat="false" ht="15" hidden="false" customHeight="false" outlineLevel="0" collapsed="false">
      <c r="A32" s="19"/>
      <c r="B32" s="19"/>
      <c r="C32" s="15"/>
      <c r="D32" s="17"/>
      <c r="E32" s="17"/>
      <c r="F32" s="19"/>
      <c r="G32" s="19"/>
      <c r="H32" s="15"/>
      <c r="I32" s="18" t="str">
        <f aca="true">IF(E32="","",IF(E32&lt;TODAY(),"Hết hạn",IF(E32-TODAY()&lt;=60,"Sắp hết hạn","Còn hiệu lực")))</f>
        <v/>
      </c>
      <c r="J32" s="19"/>
    </row>
    <row r="33" customFormat="false" ht="15" hidden="false" customHeight="false" outlineLevel="0" collapsed="false">
      <c r="A33" s="19"/>
      <c r="B33" s="19"/>
      <c r="C33" s="15"/>
      <c r="D33" s="17"/>
      <c r="E33" s="17"/>
      <c r="F33" s="19"/>
      <c r="G33" s="19"/>
      <c r="H33" s="15"/>
      <c r="I33" s="18" t="str">
        <f aca="true">IF(E33="","",IF(E33&lt;TODAY(),"Hết hạn",IF(E33-TODAY()&lt;=60,"Sắp hết hạn","Còn hiệu lực")))</f>
        <v/>
      </c>
      <c r="J33" s="19"/>
    </row>
    <row r="34" customFormat="false" ht="15" hidden="false" customHeight="false" outlineLevel="0" collapsed="false">
      <c r="A34" s="19"/>
      <c r="B34" s="19"/>
      <c r="C34" s="15"/>
      <c r="D34" s="17"/>
      <c r="E34" s="17"/>
      <c r="F34" s="19"/>
      <c r="G34" s="19"/>
      <c r="H34" s="15"/>
      <c r="I34" s="18" t="str">
        <f aca="true">IF(E34="","",IF(E34&lt;TODAY(),"Hết hạn",IF(E34-TODAY()&lt;=60,"Sắp hết hạn","Còn hiệu lực")))</f>
        <v/>
      </c>
      <c r="J34" s="19"/>
    </row>
  </sheetData>
  <autoFilter ref="A4:J34"/>
  <mergeCells count="1">
    <mergeCell ref="A2:J2"/>
  </mergeCells>
  <conditionalFormatting sqref="I5:I34">
    <cfRule type="cellIs" priority="2" operator="equal" aboveAverage="0" equalAverage="0" bottom="0" percent="0" rank="0" text="" dxfId="8">
      <formula>"Hết hạn"</formula>
    </cfRule>
    <cfRule type="cellIs" priority="3" operator="equal" aboveAverage="0" equalAverage="0" bottom="0" percent="0" rank="0" text="" dxfId="7">
      <formula>"Sắp hết hạn"</formula>
    </cfRule>
    <cfRule type="cellIs" priority="4" operator="equal" aboveAverage="0" equalAverage="0" bottom="0" percent="0" rank="0" text="" dxfId="6">
      <formula>"Còn hiệu lực"</formula>
    </cfRule>
  </conditionalFormatting>
  <dataValidations count="3">
    <dataValidation allowBlank="true" errorStyle="stop" operator="between" showDropDown="false" showErrorMessage="true" showInputMessage="false" sqref="B5:B34" type="list">
      <formula1>"Kênh bán,Hạ tầng và mạng,Hãng công nghệ,Hệ sinh thái và cơ quan,Khu vực,Khác"</formula1>
      <formula2>0</formula2>
    </dataValidation>
    <dataValidation allowBlank="true" errorStyle="stop" operator="between" showDropDown="false" showErrorMessage="true" showInputMessage="false" sqref="C5:C34" type="list">
      <formula1>"MOU,Hợp đồng đại lý,Hợp đồng dịch vụ,Thỏa thuận phân phối,Chưa có,Chưa rõ"</formula1>
      <formula2>0</formula2>
    </dataValidation>
    <dataValidation allowBlank="true" errorStyle="stop" operator="between" showDropDown="false" showErrorMessage="true" showInputMessage="false" sqref="H5:H34" type="list">
      <formula1>"Có,Không,Chưa rõ"</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2"/>
    <col collapsed="false" customWidth="true" hidden="false" outlineLevel="0" max="5" min="2" style="0" width="14"/>
    <col collapsed="false" customWidth="true" hidden="false" outlineLevel="0" max="6" min="6" style="0" width="18"/>
    <col collapsed="false" customWidth="true" hidden="false" outlineLevel="0" max="7" min="7" style="0" width="30"/>
  </cols>
  <sheetData>
    <row r="1" customFormat="false" ht="17.35" hidden="false" customHeight="false" outlineLevel="0" collapsed="false">
      <c r="A1" s="1" t="s">
        <v>203</v>
      </c>
    </row>
    <row r="2" customFormat="false" ht="15" hidden="false" customHeight="false" outlineLevel="0" collapsed="false">
      <c r="A2" s="4" t="s">
        <v>204</v>
      </c>
    </row>
    <row r="4" customFormat="false" ht="31.5" hidden="false" customHeight="true" outlineLevel="0" collapsed="false">
      <c r="A4" s="14" t="s">
        <v>205</v>
      </c>
      <c r="B4" s="14" t="s">
        <v>206</v>
      </c>
      <c r="C4" s="14" t="s">
        <v>207</v>
      </c>
      <c r="D4" s="14" t="s">
        <v>208</v>
      </c>
      <c r="E4" s="14" t="s">
        <v>209</v>
      </c>
      <c r="F4" s="14" t="s">
        <v>191</v>
      </c>
      <c r="G4" s="14" t="s">
        <v>60</v>
      </c>
    </row>
    <row r="5" customFormat="false" ht="15" hidden="false" customHeight="false" outlineLevel="0" collapsed="false">
      <c r="A5" s="6" t="s">
        <v>210</v>
      </c>
      <c r="B5" s="7" t="s">
        <v>211</v>
      </c>
      <c r="C5" s="15" t="n">
        <v>7</v>
      </c>
      <c r="D5" s="17"/>
      <c r="E5" s="16" t="str">
        <f aca="false">IF(D5="","",D5+C5)</f>
        <v/>
      </c>
      <c r="F5" s="18" t="str">
        <f aca="true">IF(E5="","Chưa làm lần nào",IF(E5&lt;TODAY(),"Quá hạn","Đúng hạn"))</f>
        <v>Chưa làm lần nào</v>
      </c>
      <c r="G5" s="19"/>
    </row>
    <row r="6" customFormat="false" ht="15" hidden="false" customHeight="false" outlineLevel="0" collapsed="false">
      <c r="A6" s="6" t="s">
        <v>212</v>
      </c>
      <c r="B6" s="7" t="s">
        <v>211</v>
      </c>
      <c r="C6" s="15" t="n">
        <v>7</v>
      </c>
      <c r="D6" s="17"/>
      <c r="E6" s="16" t="str">
        <f aca="false">IF(D6="","",D6+C6)</f>
        <v/>
      </c>
      <c r="F6" s="18" t="str">
        <f aca="true">IF(E6="","Chưa làm lần nào",IF(E6&lt;TODAY(),"Quá hạn","Đúng hạn"))</f>
        <v>Chưa làm lần nào</v>
      </c>
      <c r="G6" s="19"/>
    </row>
    <row r="7" customFormat="false" ht="15" hidden="false" customHeight="false" outlineLevel="0" collapsed="false">
      <c r="A7" s="6" t="s">
        <v>213</v>
      </c>
      <c r="B7" s="7" t="s">
        <v>214</v>
      </c>
      <c r="C7" s="15" t="n">
        <v>30</v>
      </c>
      <c r="D7" s="17"/>
      <c r="E7" s="16" t="str">
        <f aca="false">IF(D7="","",D7+C7)</f>
        <v/>
      </c>
      <c r="F7" s="18" t="str">
        <f aca="true">IF(E7="","Chưa làm lần nào",IF(E7&lt;TODAY(),"Quá hạn","Đúng hạn"))</f>
        <v>Chưa làm lần nào</v>
      </c>
      <c r="G7" s="19"/>
    </row>
    <row r="8" customFormat="false" ht="15" hidden="false" customHeight="false" outlineLevel="0" collapsed="false">
      <c r="A8" s="6" t="s">
        <v>215</v>
      </c>
      <c r="B8" s="7" t="s">
        <v>216</v>
      </c>
      <c r="C8" s="15" t="n">
        <v>90</v>
      </c>
      <c r="D8" s="17"/>
      <c r="E8" s="16" t="str">
        <f aca="false">IF(D8="","",D8+C8)</f>
        <v/>
      </c>
      <c r="F8" s="18" t="str">
        <f aca="true">IF(E8="","Chưa làm lần nào",IF(E8&lt;TODAY(),"Quá hạn","Đúng hạn"))</f>
        <v>Chưa làm lần nào</v>
      </c>
      <c r="G8" s="19"/>
    </row>
    <row r="9" customFormat="false" ht="15" hidden="false" customHeight="false" outlineLevel="0" collapsed="false">
      <c r="A9" s="6" t="s">
        <v>217</v>
      </c>
      <c r="B9" s="7" t="s">
        <v>216</v>
      </c>
      <c r="C9" s="15" t="n">
        <v>90</v>
      </c>
      <c r="D9" s="17"/>
      <c r="E9" s="16" t="str">
        <f aca="false">IF(D9="","",D9+C9)</f>
        <v/>
      </c>
      <c r="F9" s="18" t="str">
        <f aca="true">IF(E9="","Chưa làm lần nào",IF(E9&lt;TODAY(),"Quá hạn","Đúng hạn"))</f>
        <v>Chưa làm lần nào</v>
      </c>
      <c r="G9" s="19"/>
    </row>
    <row r="10" customFormat="false" ht="15" hidden="false" customHeight="false" outlineLevel="0" collapsed="false">
      <c r="A10" s="6" t="s">
        <v>218</v>
      </c>
      <c r="B10" s="7" t="s">
        <v>216</v>
      </c>
      <c r="C10" s="15" t="n">
        <v>90</v>
      </c>
      <c r="D10" s="17"/>
      <c r="E10" s="16" t="str">
        <f aca="false">IF(D10="","",D10+C10)</f>
        <v/>
      </c>
      <c r="F10" s="18" t="str">
        <f aca="true">IF(E10="","Chưa làm lần nào",IF(E10&lt;TODAY(),"Quá hạn","Đúng hạn"))</f>
        <v>Chưa làm lần nào</v>
      </c>
      <c r="G10" s="19"/>
    </row>
  </sheetData>
  <conditionalFormatting sqref="F5:F10">
    <cfRule type="expression" priority="2" aboveAverage="0" equalAverage="0" bottom="0" percent="0" rank="0" text="" dxfId="0">
      <formula>ISNUMBER(SEARCH("quá hạn",F5))</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2026-10-30T03:42:10Z</dcterms:created>
  <dc:creator>openpyxl</dc:creator>
  <dc:description/>
  <dc:language>en-US</dc:language>
  <cp:lastModifiedBy/>
  <dcterms:modified xsi:type="dcterms:W3CDTF">2026-10-30T03:42:10Z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